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🛤️ Learning Paths" sheetId="1" state="visible" r:id="rId1"/>
    <sheet name="📚 Study Log" sheetId="2" state="visible" r:id="rId2"/>
    <sheet name="📋 Tasks by Category" sheetId="3" state="visible" r:id="rId3"/>
    <sheet name="📅 Task Scheduler" sheetId="4" state="visible" r:id="rId4"/>
    <sheet name="📊 Progress &amp; Charts" sheetId="5" state="visible" r:id="rId5"/>
    <sheet name="🔗 Resource Library" sheetId="6" state="visible" r:id="rId6"/>
    <sheet name="❓ How To Use" sheetId="7" state="visible" r:id="rId7"/>
    <sheet name="⚙️ Config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"/>
  </numFmts>
  <fonts count="24">
    <font>
      <name val="Calibri"/>
      <family val="2"/>
      <color theme="1"/>
      <sz val="11"/>
      <scheme val="minor"/>
    </font>
    <font>
      <name val="Arial"/>
      <b val="1"/>
      <color rgb="FF212121"/>
      <sz val="10"/>
    </font>
    <font>
      <name val="Arial"/>
      <b val="1"/>
      <color rgb="FFFFFFFF"/>
      <sz val="15"/>
    </font>
    <font>
      <name val="Arial"/>
      <i val="1"/>
      <color rgb="FF1B5E20"/>
      <sz val="10"/>
    </font>
    <font>
      <name val="Arial"/>
      <b val="1"/>
      <color rgb="FFFFFFFF"/>
      <sz val="10"/>
    </font>
    <font>
      <name val="Arial"/>
      <color rgb="FF212121"/>
      <sz val="10"/>
    </font>
    <font>
      <name val="Arial"/>
      <b val="1"/>
      <color rgb="FFFFFFFF"/>
      <sz val="11"/>
    </font>
    <font>
      <name val="Arial"/>
      <i val="1"/>
      <color rgb="FF455A64"/>
      <sz val="9"/>
    </font>
    <font>
      <name val="Arial"/>
      <b val="1"/>
      <color rgb="FFFFFFFF"/>
      <sz val="14"/>
    </font>
    <font>
      <name val="Arial"/>
      <i val="1"/>
      <color rgb="FFFFFFFF"/>
      <sz val="10"/>
    </font>
    <font>
      <name val="Arial"/>
      <i val="1"/>
      <color rgb="FF4A148C"/>
      <sz val="10"/>
    </font>
    <font>
      <name val="Arial"/>
      <b val="1"/>
      <color rgb="FF4A148C"/>
      <sz val="10"/>
    </font>
    <font>
      <name val="Arial"/>
      <i val="1"/>
      <color rgb="FF455A64"/>
      <sz val="10"/>
    </font>
    <font>
      <name val="Arial"/>
      <i val="1"/>
      <color rgb="FF006064"/>
      <sz val="10"/>
    </font>
    <font>
      <name val="Arial"/>
      <b val="1"/>
      <color rgb="FFFFFFFF"/>
      <sz val="12"/>
    </font>
    <font>
      <name val="Arial"/>
      <b val="1"/>
      <color rgb="FF0D47A1"/>
      <sz val="11"/>
    </font>
    <font>
      <name val="Arial"/>
      <i val="1"/>
      <color rgb="FFBF360C"/>
      <sz val="9"/>
    </font>
    <font>
      <name val="Arial"/>
      <i val="1"/>
      <color rgb="FF4A148C"/>
      <sz val="9"/>
    </font>
    <font>
      <name val="Arial"/>
      <b val="1"/>
      <color rgb="FF0D47A1"/>
      <sz val="10"/>
    </font>
    <font>
      <name val="Arial"/>
      <b val="1"/>
      <color rgb="FF006064"/>
      <sz val="10"/>
    </font>
    <font>
      <name val="Arial"/>
      <color rgb="FF455A64"/>
      <sz val="9"/>
    </font>
    <font>
      <name val="Arial"/>
      <i val="1"/>
      <color rgb="FF37474F"/>
      <sz val="10"/>
    </font>
    <font>
      <name val="Arial"/>
      <b val="1"/>
      <color rgb="FFFFFFFF"/>
      <sz val="9"/>
    </font>
    <font>
      <name val="Arial"/>
      <b val="1"/>
      <color rgb="FF212121"/>
      <sz val="13"/>
    </font>
  </fonts>
  <fills count="28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1F8E9"/>
      </patternFill>
    </fill>
    <fill>
      <patternFill patternType="solid">
        <fgColor rgb="FF455A64"/>
      </patternFill>
    </fill>
    <fill>
      <patternFill patternType="solid">
        <fgColor rgb="FFECEFF1"/>
      </patternFill>
    </fill>
    <fill>
      <patternFill patternType="solid">
        <fgColor rgb="FF0D47A1"/>
      </patternFill>
    </fill>
    <fill>
      <patternFill patternType="solid">
        <fgColor rgb="FFF0F4FF"/>
      </patternFill>
    </fill>
    <fill>
      <patternFill patternType="solid">
        <fgColor rgb="FF4A148C"/>
      </patternFill>
    </fill>
    <fill>
      <patternFill patternType="solid">
        <fgColor rgb="FFE8EAF6"/>
      </patternFill>
    </fill>
    <fill>
      <patternFill patternType="solid">
        <fgColor rgb="FFD1C4E9"/>
      </patternFill>
    </fill>
    <fill>
      <patternFill patternType="solid">
        <fgColor rgb="FFFFF9C4"/>
      </patternFill>
    </fill>
    <fill>
      <patternFill patternType="solid">
        <fgColor rgb="FF006064"/>
      </patternFill>
    </fill>
    <fill>
      <patternFill patternType="solid">
        <fgColor rgb="FFE0F2F1"/>
      </patternFill>
    </fill>
    <fill>
      <patternFill patternType="solid">
        <fgColor rgb="FFE3F2FD"/>
      </patternFill>
    </fill>
    <fill>
      <patternFill patternType="solid">
        <fgColor rgb="FFFFE8E1"/>
      </patternFill>
    </fill>
    <fill>
      <patternFill patternType="solid">
        <fgColor rgb="FFE1F5FE"/>
      </patternFill>
    </fill>
    <fill>
      <patternFill patternType="solid">
        <fgColor rgb="FFF3E5F5"/>
      </patternFill>
    </fill>
    <fill>
      <patternFill patternType="solid">
        <fgColor rgb="FFF5F5F5"/>
      </patternFill>
    </fill>
    <fill>
      <patternFill patternType="solid">
        <fgColor rgb="FFFFF8E1"/>
      </patternFill>
    </fill>
    <fill>
      <patternFill patternType="solid">
        <fgColor rgb="FF37474F"/>
      </patternFill>
    </fill>
    <fill>
      <patternFill patternType="solid">
        <fgColor rgb="FFC8E6C9"/>
      </patternFill>
    </fill>
    <fill>
      <patternFill patternType="solid">
        <fgColor rgb="FFA5D6A7"/>
      </patternFill>
    </fill>
    <fill>
      <patternFill patternType="solid">
        <fgColor rgb="FFFFCDD2"/>
      </patternFill>
    </fill>
    <fill>
      <patternFill patternType="solid">
        <fgColor rgb="FFEF9A9A"/>
      </patternFill>
    </fill>
    <fill>
      <patternFill patternType="solid">
        <fgColor rgb="FF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9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164" fontId="5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164" fontId="19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164" fontId="20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center" vertical="center" wrapText="1"/>
    </xf>
    <xf numFmtId="164" fontId="20" fillId="4" borderId="1" applyAlignment="1" pivotButton="0" quotePrefix="0" xfId="0">
      <alignment horizontal="center" vertical="center" wrapText="1"/>
    </xf>
    <xf numFmtId="164" fontId="19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 wrapText="1"/>
    </xf>
    <xf numFmtId="0" fontId="23" fillId="23" borderId="1" applyAlignment="1" pivotButton="0" quotePrefix="0" xfId="0">
      <alignment horizontal="center" vertical="center" wrapText="1"/>
    </xf>
    <xf numFmtId="0" fontId="23" fillId="24" borderId="1" applyAlignment="1" pivotButton="0" quotePrefix="0" xfId="0">
      <alignment horizontal="center" vertical="center" wrapText="1"/>
    </xf>
    <xf numFmtId="0" fontId="23" fillId="25" borderId="1" applyAlignment="1" pivotButton="0" quotePrefix="0" xfId="0">
      <alignment horizontal="center" vertical="center" wrapText="1"/>
    </xf>
    <xf numFmtId="0" fontId="23" fillId="26" borderId="1" applyAlignment="1" pivotButton="0" quotePrefix="0" xfId="0">
      <alignment horizontal="center" vertical="center" wrapText="1"/>
    </xf>
    <xf numFmtId="0" fontId="23" fillId="27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5" fillId="2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22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dxfs count="13">
    <dxf>
      <font>
        <name val="Arial"/>
        <b val="1"/>
        <color rgb="FF1B5E20"/>
        <sz val="10"/>
      </font>
      <fill>
        <patternFill patternType="solid">
          <fgColor rgb="FFA5D6A7"/>
        </patternFill>
      </fill>
    </dxf>
    <dxf>
      <font>
        <name val="Arial"/>
        <color rgb="FF212121"/>
        <sz val="10"/>
      </font>
      <fill>
        <patternFill patternType="solid">
          <fgColor rgb="FFFFF9C4"/>
        </patternFill>
      </fill>
    </dxf>
    <dxf>
      <font>
        <name val="Arial"/>
        <color rgb="FF212121"/>
        <sz val="10"/>
      </font>
      <fill>
        <patternFill patternType="solid">
          <fgColor rgb="FFFFE0B2"/>
        </patternFill>
      </fill>
    </dxf>
    <dxf>
      <font>
        <name val="Arial"/>
        <color rgb="FF212121"/>
        <sz val="10"/>
      </font>
      <fill>
        <patternFill patternType="solid">
          <fgColor rgb="FFE0E0E0"/>
        </patternFill>
      </fill>
    </dxf>
    <dxf>
      <font>
        <name val="Arial"/>
        <b val="1"/>
        <color rgb="FFB71C1C"/>
        <sz val="10"/>
      </font>
      <fill>
        <patternFill patternType="solid">
          <fgColor rgb="FFFFCDD2"/>
        </patternFill>
      </fill>
    </dxf>
    <dxf>
      <font>
        <name val="Arial"/>
        <b val="1"/>
        <color rgb="FFE65100"/>
        <sz val="10"/>
      </font>
      <fill>
        <patternFill patternType="solid">
          <fgColor rgb="FFFFE0B2"/>
        </patternFill>
      </fill>
    </dxf>
    <dxf>
      <font>
        <name val="Arial"/>
        <b val="1"/>
        <color rgb="FFC62828"/>
        <sz val="10"/>
      </font>
      <fill>
        <patternFill patternType="solid">
          <fgColor rgb="FFEF9A9A"/>
        </patternFill>
      </fill>
    </dxf>
    <dxf>
      <font>
        <name val="Arial"/>
        <color rgb="FF212121"/>
        <sz val="10"/>
      </font>
      <fill>
        <patternFill patternType="solid">
          <fgColor rgb="FFBBDEFB"/>
        </patternFill>
      </fill>
    </dxf>
    <dxf>
      <font>
        <name val="Arial"/>
        <color rgb="FF212121"/>
        <sz val="10"/>
      </font>
      <fill>
        <patternFill patternType="solid">
          <fgColor rgb="FFE8F5E9"/>
        </patternFill>
      </fill>
    </dxf>
    <dxf>
      <font>
        <name val="Arial"/>
        <color rgb="FF212121"/>
        <sz val="10"/>
      </font>
      <fill>
        <patternFill patternType="solid">
          <fgColor rgb="FFDCEDC8"/>
        </patternFill>
      </fill>
    </dxf>
    <dxf>
      <font>
        <name val="Arial"/>
        <color rgb="FF9E9E9E"/>
        <sz val="10"/>
      </font>
      <fill>
        <patternFill patternType="solid">
          <fgColor rgb="FFE0E0E0"/>
        </patternFill>
      </fill>
    </dxf>
    <dxf>
      <font>
        <name val="Arial"/>
        <color rgb="FFB71C1C"/>
        <sz val="10"/>
      </font>
      <fill>
        <patternFill patternType="solid">
          <fgColor rgb="FFFFCDD2"/>
        </patternFill>
      </fill>
    </dxf>
    <dxf>
      <font>
        <name val="Arial"/>
        <color rgb="FFE65100"/>
        <sz val="10"/>
      </font>
      <fill>
        <patternFill patternType="solid">
          <fgColor rgb="FFFFE0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2" customWidth="1" min="3" max="3"/>
    <col width="15" customWidth="1" min="4" max="4"/>
    <col width="13" customWidth="1" min="5" max="5"/>
    <col width="13" customWidth="1" min="6" max="6"/>
    <col width="12" customWidth="1" min="7" max="7"/>
    <col width="30" customWidth="1" min="8" max="8"/>
    <col width="15" customWidth="1" min="9" max="9"/>
    <col width="15" customWidth="1" min="10" max="10"/>
    <col width="30" customWidth="1" min="11" max="11"/>
  </cols>
  <sheetData>
    <row r="1" ht="36" customHeight="1">
      <c r="A1" s="1" t="inlineStr">
        <is>
          <t>🛤️  SNS'S LEARNING PATHS</t>
        </is>
      </c>
    </row>
    <row r="2" ht="16" customHeight="1">
      <c r="A2" s="2" t="inlineStr">
        <is>
          <t>Type directly to add a learning path. Path names auto-populate all dropdowns. Completed paths archive their tasks here as a collapsible group below this table.</t>
        </is>
      </c>
    </row>
    <row r="3" ht="38" customHeight="1">
      <c r="A3" s="3" t="inlineStr">
        <is>
          <t>#</t>
        </is>
      </c>
      <c r="B3" s="3" t="inlineStr">
        <is>
          <t>Learning Path Name</t>
        </is>
      </c>
      <c r="C3" s="3" t="inlineStr">
        <is>
          <t>Description</t>
        </is>
      </c>
      <c r="D3" s="3" t="inlineStr">
        <is>
          <t>Platform /
Source</t>
        </is>
      </c>
      <c r="E3" s="3" t="inlineStr">
        <is>
          <t>Total Topics
Planned</t>
        </is>
      </c>
      <c r="F3" s="3" t="inlineStr">
        <is>
          <t>Topics
Completed</t>
        </is>
      </c>
      <c r="G3" s="3" t="inlineStr">
        <is>
          <t>% Complete</t>
        </is>
      </c>
      <c r="H3" s="3" t="inlineStr">
        <is>
          <t>📍 Where I Left Off
(Current Topic)</t>
        </is>
      </c>
      <c r="I3" s="3" t="inlineStr">
        <is>
          <t>Last Studied
Date</t>
        </is>
      </c>
      <c r="J3" s="3" t="inlineStr">
        <is>
          <t>Status</t>
        </is>
      </c>
      <c r="K3" s="3" t="inlineStr">
        <is>
          <t>Notes / Next Steps</t>
        </is>
      </c>
    </row>
    <row r="4" ht="24" customHeight="1">
      <c r="A4" s="4" t="n">
        <v>1</v>
      </c>
      <c r="B4" s="5" t="n"/>
      <c r="C4" s="5" t="n"/>
      <c r="D4" s="4" t="n"/>
      <c r="E4" s="4" t="n"/>
      <c r="F4" s="4" t="n"/>
      <c r="G4" s="6">
        <f>IFERROR(F4/E4,"")</f>
        <v/>
      </c>
      <c r="H4" s="5" t="n"/>
      <c r="I4" s="7" t="n"/>
      <c r="J4" s="4" t="n"/>
      <c r="K4" s="5" t="n"/>
    </row>
    <row r="5" ht="24" customHeight="1">
      <c r="A5" s="8" t="n">
        <v>2</v>
      </c>
      <c r="B5" s="9" t="n"/>
      <c r="C5" s="9" t="n"/>
      <c r="D5" s="8" t="n"/>
      <c r="E5" s="8" t="n"/>
      <c r="F5" s="8" t="n"/>
      <c r="G5" s="10">
        <f>IFERROR(F5/E5,"")</f>
        <v/>
      </c>
      <c r="H5" s="9" t="n"/>
      <c r="I5" s="11" t="n"/>
      <c r="J5" s="8" t="n"/>
      <c r="K5" s="9" t="n"/>
    </row>
    <row r="6" ht="24" customHeight="1">
      <c r="A6" s="4" t="n">
        <v>3</v>
      </c>
      <c r="B6" s="5" t="n"/>
      <c r="C6" s="5" t="n"/>
      <c r="D6" s="4" t="n"/>
      <c r="E6" s="4" t="n"/>
      <c r="F6" s="4" t="n"/>
      <c r="G6" s="6">
        <f>IFERROR(F6/E6,"")</f>
        <v/>
      </c>
      <c r="H6" s="5" t="n"/>
      <c r="I6" s="7" t="n"/>
      <c r="J6" s="4" t="n"/>
      <c r="K6" s="5" t="n"/>
    </row>
    <row r="7" ht="24" customHeight="1">
      <c r="A7" s="8" t="n">
        <v>4</v>
      </c>
      <c r="B7" s="9" t="n"/>
      <c r="C7" s="9" t="n"/>
      <c r="D7" s="8" t="n"/>
      <c r="E7" s="8" t="n"/>
      <c r="F7" s="8" t="n"/>
      <c r="G7" s="10">
        <f>IFERROR(F7/E7,"")</f>
        <v/>
      </c>
      <c r="H7" s="9" t="n"/>
      <c r="I7" s="11" t="n"/>
      <c r="J7" s="8" t="n"/>
      <c r="K7" s="9" t="n"/>
    </row>
    <row r="8" ht="24" customHeight="1">
      <c r="A8" s="4" t="n">
        <v>5</v>
      </c>
      <c r="B8" s="5" t="n"/>
      <c r="C8" s="5" t="n"/>
      <c r="D8" s="4" t="n"/>
      <c r="E8" s="4" t="n"/>
      <c r="F8" s="4" t="n"/>
      <c r="G8" s="6">
        <f>IFERROR(F8/E8,"")</f>
        <v/>
      </c>
      <c r="H8" s="5" t="n"/>
      <c r="I8" s="7" t="n"/>
      <c r="J8" s="4" t="n"/>
      <c r="K8" s="5" t="n"/>
    </row>
    <row r="9" ht="24" customHeight="1">
      <c r="A9" s="8" t="n">
        <v>6</v>
      </c>
      <c r="B9" s="9" t="n"/>
      <c r="C9" s="9" t="n"/>
      <c r="D9" s="8" t="n"/>
      <c r="E9" s="8" t="n"/>
      <c r="F9" s="8" t="n"/>
      <c r="G9" s="10">
        <f>IFERROR(F9/E9,"")</f>
        <v/>
      </c>
      <c r="H9" s="9" t="n"/>
      <c r="I9" s="11" t="n"/>
      <c r="J9" s="8" t="n"/>
      <c r="K9" s="9" t="n"/>
    </row>
    <row r="10" ht="24" customHeight="1">
      <c r="A10" s="4" t="n">
        <v>7</v>
      </c>
      <c r="B10" s="5" t="n"/>
      <c r="C10" s="5" t="n"/>
      <c r="D10" s="4" t="n"/>
      <c r="E10" s="4" t="n"/>
      <c r="F10" s="4" t="n"/>
      <c r="G10" s="6">
        <f>IFERROR(F10/E10,"")</f>
        <v/>
      </c>
      <c r="H10" s="5" t="n"/>
      <c r="I10" s="7" t="n"/>
      <c r="J10" s="4" t="n"/>
      <c r="K10" s="5" t="n"/>
    </row>
    <row r="11" ht="24" customHeight="1">
      <c r="A11" s="8" t="n">
        <v>8</v>
      </c>
      <c r="B11" s="9" t="n"/>
      <c r="C11" s="9" t="n"/>
      <c r="D11" s="8" t="n"/>
      <c r="E11" s="8" t="n"/>
      <c r="F11" s="8" t="n"/>
      <c r="G11" s="10">
        <f>IFERROR(F11/E11,"")</f>
        <v/>
      </c>
      <c r="H11" s="9" t="n"/>
      <c r="I11" s="11" t="n"/>
      <c r="J11" s="8" t="n"/>
      <c r="K11" s="9" t="n"/>
    </row>
    <row r="12" ht="24" customHeight="1">
      <c r="A12" s="4" t="n">
        <v>9</v>
      </c>
      <c r="B12" s="5" t="n"/>
      <c r="C12" s="5" t="n"/>
      <c r="D12" s="4" t="n"/>
      <c r="E12" s="4" t="n"/>
      <c r="F12" s="4" t="n"/>
      <c r="G12" s="6">
        <f>IFERROR(F12/E12,"")</f>
        <v/>
      </c>
      <c r="H12" s="5" t="n"/>
      <c r="I12" s="7" t="n"/>
      <c r="J12" s="4" t="n"/>
      <c r="K12" s="5" t="n"/>
    </row>
    <row r="13" ht="24" customHeight="1">
      <c r="A13" s="8" t="n">
        <v>10</v>
      </c>
      <c r="B13" s="9" t="n"/>
      <c r="C13" s="9" t="n"/>
      <c r="D13" s="8" t="n"/>
      <c r="E13" s="8" t="n"/>
      <c r="F13" s="8" t="n"/>
      <c r="G13" s="10">
        <f>IFERROR(F13/E13,"")</f>
        <v/>
      </c>
      <c r="H13" s="9" t="n"/>
      <c r="I13" s="11" t="n"/>
      <c r="J13" s="8" t="n"/>
      <c r="K13" s="9" t="n"/>
    </row>
    <row r="14" ht="24" customHeight="1">
      <c r="A14" s="4" t="n">
        <v>11</v>
      </c>
      <c r="B14" s="5" t="n"/>
      <c r="C14" s="5" t="n"/>
      <c r="D14" s="4" t="n"/>
      <c r="E14" s="4" t="n"/>
      <c r="F14" s="4" t="n"/>
      <c r="G14" s="6">
        <f>IFERROR(F14/E14,"")</f>
        <v/>
      </c>
      <c r="H14" s="5" t="n"/>
      <c r="I14" s="7" t="n"/>
      <c r="J14" s="4" t="n"/>
      <c r="K14" s="5" t="n"/>
    </row>
    <row r="15" ht="24" customHeight="1">
      <c r="A15" s="8" t="n">
        <v>12</v>
      </c>
      <c r="B15" s="9" t="n"/>
      <c r="C15" s="9" t="n"/>
      <c r="D15" s="8" t="n"/>
      <c r="E15" s="8" t="n"/>
      <c r="F15" s="8" t="n"/>
      <c r="G15" s="10">
        <f>IFERROR(F15/E15,"")</f>
        <v/>
      </c>
      <c r="H15" s="9" t="n"/>
      <c r="I15" s="11" t="n"/>
      <c r="J15" s="8" t="n"/>
      <c r="K15" s="9" t="n"/>
    </row>
    <row r="16" ht="24" customHeight="1">
      <c r="A16" s="4" t="n">
        <v>13</v>
      </c>
      <c r="B16" s="5" t="n"/>
      <c r="C16" s="5" t="n"/>
      <c r="D16" s="4" t="n"/>
      <c r="E16" s="4" t="n"/>
      <c r="F16" s="4" t="n"/>
      <c r="G16" s="6">
        <f>IFERROR(F16/E16,"")</f>
        <v/>
      </c>
      <c r="H16" s="5" t="n"/>
      <c r="I16" s="7" t="n"/>
      <c r="J16" s="4" t="n"/>
      <c r="K16" s="5" t="n"/>
    </row>
    <row r="17" ht="24" customHeight="1">
      <c r="A17" s="8" t="n">
        <v>14</v>
      </c>
      <c r="B17" s="9" t="n"/>
      <c r="C17" s="9" t="n"/>
      <c r="D17" s="8" t="n"/>
      <c r="E17" s="8" t="n"/>
      <c r="F17" s="8" t="n"/>
      <c r="G17" s="10">
        <f>IFERROR(F17/E17,"")</f>
        <v/>
      </c>
      <c r="H17" s="9" t="n"/>
      <c r="I17" s="11" t="n"/>
      <c r="J17" s="8" t="n"/>
      <c r="K17" s="9" t="n"/>
    </row>
    <row r="18" ht="24" customHeight="1">
      <c r="A18" s="4" t="n">
        <v>15</v>
      </c>
      <c r="B18" s="5" t="n"/>
      <c r="C18" s="5" t="n"/>
      <c r="D18" s="4" t="n"/>
      <c r="E18" s="4" t="n"/>
      <c r="F18" s="4" t="n"/>
      <c r="G18" s="6">
        <f>IFERROR(F18/E18,"")</f>
        <v/>
      </c>
      <c r="H18" s="5" t="n"/>
      <c r="I18" s="7" t="n"/>
      <c r="J18" s="4" t="n"/>
      <c r="K18" s="5" t="n"/>
    </row>
    <row r="19" ht="24" customHeight="1">
      <c r="A19" s="8" t="n">
        <v>16</v>
      </c>
      <c r="B19" s="9" t="n"/>
      <c r="C19" s="9" t="n"/>
      <c r="D19" s="8" t="n"/>
      <c r="E19" s="8" t="n"/>
      <c r="F19" s="8" t="n"/>
      <c r="G19" s="10">
        <f>IFERROR(F19/E19,"")</f>
        <v/>
      </c>
      <c r="H19" s="9" t="n"/>
      <c r="I19" s="11" t="n"/>
      <c r="J19" s="8" t="n"/>
      <c r="K19" s="9" t="n"/>
    </row>
    <row r="20" ht="24" customHeight="1">
      <c r="A20" s="4" t="n">
        <v>17</v>
      </c>
      <c r="B20" s="5" t="n"/>
      <c r="C20" s="5" t="n"/>
      <c r="D20" s="4" t="n"/>
      <c r="E20" s="4" t="n"/>
      <c r="F20" s="4" t="n"/>
      <c r="G20" s="6">
        <f>IFERROR(F20/E20,"")</f>
        <v/>
      </c>
      <c r="H20" s="5" t="n"/>
      <c r="I20" s="7" t="n"/>
      <c r="J20" s="4" t="n"/>
      <c r="K20" s="5" t="n"/>
    </row>
    <row r="21" ht="24" customHeight="1">
      <c r="A21" s="8" t="n">
        <v>18</v>
      </c>
      <c r="B21" s="9" t="n"/>
      <c r="C21" s="9" t="n"/>
      <c r="D21" s="8" t="n"/>
      <c r="E21" s="8" t="n"/>
      <c r="F21" s="8" t="n"/>
      <c r="G21" s="10">
        <f>IFERROR(F21/E21,"")</f>
        <v/>
      </c>
      <c r="H21" s="9" t="n"/>
      <c r="I21" s="11" t="n"/>
      <c r="J21" s="8" t="n"/>
      <c r="K21" s="9" t="n"/>
    </row>
    <row r="22" ht="24" customHeight="1">
      <c r="A22" s="4" t="n">
        <v>19</v>
      </c>
      <c r="B22" s="5" t="n"/>
      <c r="C22" s="5" t="n"/>
      <c r="D22" s="4" t="n"/>
      <c r="E22" s="4" t="n"/>
      <c r="F22" s="4" t="n"/>
      <c r="G22" s="6">
        <f>IFERROR(F22/E22,"")</f>
        <v/>
      </c>
      <c r="H22" s="5" t="n"/>
      <c r="I22" s="7" t="n"/>
      <c r="J22" s="4" t="n"/>
      <c r="K22" s="5" t="n"/>
    </row>
    <row r="23" ht="24" customHeight="1">
      <c r="A23" s="8" t="n">
        <v>20</v>
      </c>
      <c r="B23" s="9" t="n"/>
      <c r="C23" s="9" t="n"/>
      <c r="D23" s="8" t="n"/>
      <c r="E23" s="8" t="n"/>
      <c r="F23" s="8" t="n"/>
      <c r="G23" s="10">
        <f>IFERROR(F23/E23,"")</f>
        <v/>
      </c>
      <c r="H23" s="9" t="n"/>
      <c r="I23" s="11" t="n"/>
      <c r="J23" s="8" t="n"/>
      <c r="K23" s="9" t="n"/>
    </row>
    <row r="24" ht="24" customHeight="1">
      <c r="A24" s="4" t="n">
        <v>21</v>
      </c>
      <c r="B24" s="5" t="n"/>
      <c r="C24" s="5" t="n"/>
      <c r="D24" s="4" t="n"/>
      <c r="E24" s="4" t="n"/>
      <c r="F24" s="4" t="n"/>
      <c r="G24" s="6">
        <f>IFERROR(F24/E24,"")</f>
        <v/>
      </c>
      <c r="H24" s="5" t="n"/>
      <c r="I24" s="7" t="n"/>
      <c r="J24" s="4" t="n"/>
      <c r="K24" s="5" t="n"/>
    </row>
    <row r="25" ht="24" customHeight="1">
      <c r="A25" s="8" t="n">
        <v>22</v>
      </c>
      <c r="B25" s="9" t="n"/>
      <c r="C25" s="9" t="n"/>
      <c r="D25" s="8" t="n"/>
      <c r="E25" s="8" t="n"/>
      <c r="F25" s="8" t="n"/>
      <c r="G25" s="10">
        <f>IFERROR(F25/E25,"")</f>
        <v/>
      </c>
      <c r="H25" s="9" t="n"/>
      <c r="I25" s="11" t="n"/>
      <c r="J25" s="8" t="n"/>
      <c r="K25" s="9" t="n"/>
    </row>
    <row r="26" ht="24" customHeight="1">
      <c r="A26" s="4" t="n">
        <v>23</v>
      </c>
      <c r="B26" s="5" t="n"/>
      <c r="C26" s="5" t="n"/>
      <c r="D26" s="4" t="n"/>
      <c r="E26" s="4" t="n"/>
      <c r="F26" s="4" t="n"/>
      <c r="G26" s="6">
        <f>IFERROR(F26/E26,"")</f>
        <v/>
      </c>
      <c r="H26" s="5" t="n"/>
      <c r="I26" s="7" t="n"/>
      <c r="J26" s="4" t="n"/>
      <c r="K26" s="5" t="n"/>
    </row>
    <row r="27" ht="24" customHeight="1">
      <c r="A27" s="8" t="n">
        <v>24</v>
      </c>
      <c r="B27" s="9" t="n"/>
      <c r="C27" s="9" t="n"/>
      <c r="D27" s="8" t="n"/>
      <c r="E27" s="8" t="n"/>
      <c r="F27" s="8" t="n"/>
      <c r="G27" s="10">
        <f>IFERROR(F27/E27,"")</f>
        <v/>
      </c>
      <c r="H27" s="9" t="n"/>
      <c r="I27" s="11" t="n"/>
      <c r="J27" s="8" t="n"/>
      <c r="K27" s="9" t="n"/>
    </row>
    <row r="28" ht="24" customHeight="1">
      <c r="A28" s="4" t="n">
        <v>25</v>
      </c>
      <c r="B28" s="5" t="n"/>
      <c r="C28" s="5" t="n"/>
      <c r="D28" s="4" t="n"/>
      <c r="E28" s="4" t="n"/>
      <c r="F28" s="4" t="n"/>
      <c r="G28" s="6">
        <f>IFERROR(F28/E28,"")</f>
        <v/>
      </c>
      <c r="H28" s="5" t="n"/>
      <c r="I28" s="7" t="n"/>
      <c r="J28" s="4" t="n"/>
      <c r="K28" s="5" t="n"/>
    </row>
    <row r="29" ht="24" customHeight="1">
      <c r="A29" s="8" t="n">
        <v>26</v>
      </c>
      <c r="B29" s="9" t="n"/>
      <c r="C29" s="9" t="n"/>
      <c r="D29" s="8" t="n"/>
      <c r="E29" s="8" t="n"/>
      <c r="F29" s="8" t="n"/>
      <c r="G29" s="10">
        <f>IFERROR(F29/E29,"")</f>
        <v/>
      </c>
      <c r="H29" s="9" t="n"/>
      <c r="I29" s="11" t="n"/>
      <c r="J29" s="8" t="n"/>
      <c r="K29" s="9" t="n"/>
    </row>
    <row r="30" ht="24" customHeight="1">
      <c r="A30" s="4" t="n">
        <v>27</v>
      </c>
      <c r="B30" s="5" t="n"/>
      <c r="C30" s="5" t="n"/>
      <c r="D30" s="4" t="n"/>
      <c r="E30" s="4" t="n"/>
      <c r="F30" s="4" t="n"/>
      <c r="G30" s="6">
        <f>IFERROR(F30/E30,"")</f>
        <v/>
      </c>
      <c r="H30" s="5" t="n"/>
      <c r="I30" s="7" t="n"/>
      <c r="J30" s="4" t="n"/>
      <c r="K30" s="5" t="n"/>
    </row>
    <row r="31" ht="24" customHeight="1">
      <c r="A31" s="8" t="n">
        <v>28</v>
      </c>
      <c r="B31" s="9" t="n"/>
      <c r="C31" s="9" t="n"/>
      <c r="D31" s="8" t="n"/>
      <c r="E31" s="8" t="n"/>
      <c r="F31" s="8" t="n"/>
      <c r="G31" s="10">
        <f>IFERROR(F31/E31,"")</f>
        <v/>
      </c>
      <c r="H31" s="9" t="n"/>
      <c r="I31" s="11" t="n"/>
      <c r="J31" s="8" t="n"/>
      <c r="K31" s="9" t="n"/>
    </row>
    <row r="32" ht="24" customHeight="1">
      <c r="A32" s="4" t="n">
        <v>29</v>
      </c>
      <c r="B32" s="5" t="n"/>
      <c r="C32" s="5" t="n"/>
      <c r="D32" s="4" t="n"/>
      <c r="E32" s="4" t="n"/>
      <c r="F32" s="4" t="n"/>
      <c r="G32" s="6">
        <f>IFERROR(F32/E32,"")</f>
        <v/>
      </c>
      <c r="H32" s="5" t="n"/>
      <c r="I32" s="7" t="n"/>
      <c r="J32" s="4" t="n"/>
      <c r="K32" s="5" t="n"/>
    </row>
    <row r="33" ht="24" customHeight="1">
      <c r="A33" s="8" t="n">
        <v>30</v>
      </c>
      <c r="B33" s="9" t="n"/>
      <c r="C33" s="9" t="n"/>
      <c r="D33" s="8" t="n"/>
      <c r="E33" s="8" t="n"/>
      <c r="F33" s="8" t="n"/>
      <c r="G33" s="10">
        <f>IFERROR(F33/E33,"")</f>
        <v/>
      </c>
      <c r="H33" s="9" t="n"/>
      <c r="I33" s="11" t="n"/>
      <c r="J33" s="8" t="n"/>
      <c r="K33" s="9" t="n"/>
    </row>
    <row r="34" ht="24" customHeight="1">
      <c r="A34" s="4" t="n">
        <v>31</v>
      </c>
      <c r="B34" s="5" t="n"/>
      <c r="C34" s="5" t="n"/>
      <c r="D34" s="4" t="n"/>
      <c r="E34" s="4" t="n"/>
      <c r="F34" s="4" t="n"/>
      <c r="G34" s="6">
        <f>IFERROR(F34/E34,"")</f>
        <v/>
      </c>
      <c r="H34" s="5" t="n"/>
      <c r="I34" s="7" t="n"/>
      <c r="J34" s="4" t="n"/>
      <c r="K34" s="5" t="n"/>
    </row>
    <row r="35" ht="24" customHeight="1">
      <c r="A35" s="8" t="n">
        <v>32</v>
      </c>
      <c r="B35" s="9" t="n"/>
      <c r="C35" s="9" t="n"/>
      <c r="D35" s="8" t="n"/>
      <c r="E35" s="8" t="n"/>
      <c r="F35" s="8" t="n"/>
      <c r="G35" s="10">
        <f>IFERROR(F35/E35,"")</f>
        <v/>
      </c>
      <c r="H35" s="9" t="n"/>
      <c r="I35" s="11" t="n"/>
      <c r="J35" s="8" t="n"/>
      <c r="K35" s="9" t="n"/>
    </row>
    <row r="36" ht="24" customHeight="1">
      <c r="A36" s="4" t="n">
        <v>33</v>
      </c>
      <c r="B36" s="5" t="n"/>
      <c r="C36" s="5" t="n"/>
      <c r="D36" s="4" t="n"/>
      <c r="E36" s="4" t="n"/>
      <c r="F36" s="4" t="n"/>
      <c r="G36" s="6">
        <f>IFERROR(F36/E36,"")</f>
        <v/>
      </c>
      <c r="H36" s="5" t="n"/>
      <c r="I36" s="7" t="n"/>
      <c r="J36" s="4" t="n"/>
      <c r="K36" s="5" t="n"/>
    </row>
    <row r="37" ht="24" customHeight="1">
      <c r="A37" s="8" t="n">
        <v>34</v>
      </c>
      <c r="B37" s="9" t="n"/>
      <c r="C37" s="9" t="n"/>
      <c r="D37" s="8" t="n"/>
      <c r="E37" s="8" t="n"/>
      <c r="F37" s="8" t="n"/>
      <c r="G37" s="10">
        <f>IFERROR(F37/E37,"")</f>
        <v/>
      </c>
      <c r="H37" s="9" t="n"/>
      <c r="I37" s="11" t="n"/>
      <c r="J37" s="8" t="n"/>
      <c r="K37" s="9" t="n"/>
    </row>
    <row r="38" ht="24" customHeight="1">
      <c r="A38" s="4" t="n">
        <v>35</v>
      </c>
      <c r="B38" s="5" t="n"/>
      <c r="C38" s="5" t="n"/>
      <c r="D38" s="4" t="n"/>
      <c r="E38" s="4" t="n"/>
      <c r="F38" s="4" t="n"/>
      <c r="G38" s="6">
        <f>IFERROR(F38/E38,"")</f>
        <v/>
      </c>
      <c r="H38" s="5" t="n"/>
      <c r="I38" s="7" t="n"/>
      <c r="J38" s="4" t="n"/>
      <c r="K38" s="5" t="n"/>
    </row>
    <row r="39" ht="24" customHeight="1">
      <c r="A39" s="8" t="n">
        <v>36</v>
      </c>
      <c r="B39" s="9" t="n"/>
      <c r="C39" s="9" t="n"/>
      <c r="D39" s="8" t="n"/>
      <c r="E39" s="8" t="n"/>
      <c r="F39" s="8" t="n"/>
      <c r="G39" s="10">
        <f>IFERROR(F39/E39,"")</f>
        <v/>
      </c>
      <c r="H39" s="9" t="n"/>
      <c r="I39" s="11" t="n"/>
      <c r="J39" s="8" t="n"/>
      <c r="K39" s="9" t="n"/>
    </row>
    <row r="40" ht="24" customHeight="1">
      <c r="A40" s="4" t="n">
        <v>37</v>
      </c>
      <c r="B40" s="5" t="n"/>
      <c r="C40" s="5" t="n"/>
      <c r="D40" s="4" t="n"/>
      <c r="E40" s="4" t="n"/>
      <c r="F40" s="4" t="n"/>
      <c r="G40" s="6">
        <f>IFERROR(F40/E40,"")</f>
        <v/>
      </c>
      <c r="H40" s="5" t="n"/>
      <c r="I40" s="7" t="n"/>
      <c r="J40" s="4" t="n"/>
      <c r="K40" s="5" t="n"/>
    </row>
    <row r="41" ht="24" customHeight="1">
      <c r="A41" s="8" t="n">
        <v>38</v>
      </c>
      <c r="B41" s="9" t="n"/>
      <c r="C41" s="9" t="n"/>
      <c r="D41" s="8" t="n"/>
      <c r="E41" s="8" t="n"/>
      <c r="F41" s="8" t="n"/>
      <c r="G41" s="10">
        <f>IFERROR(F41/E41,"")</f>
        <v/>
      </c>
      <c r="H41" s="9" t="n"/>
      <c r="I41" s="11" t="n"/>
      <c r="J41" s="8" t="n"/>
      <c r="K41" s="9" t="n"/>
    </row>
    <row r="42" ht="24" customHeight="1">
      <c r="A42" s="4" t="n">
        <v>39</v>
      </c>
      <c r="B42" s="5" t="n"/>
      <c r="C42" s="5" t="n"/>
      <c r="D42" s="4" t="n"/>
      <c r="E42" s="4" t="n"/>
      <c r="F42" s="4" t="n"/>
      <c r="G42" s="6">
        <f>IFERROR(F42/E42,"")</f>
        <v/>
      </c>
      <c r="H42" s="5" t="n"/>
      <c r="I42" s="7" t="n"/>
      <c r="J42" s="4" t="n"/>
      <c r="K42" s="5" t="n"/>
    </row>
    <row r="43" ht="24" customHeight="1">
      <c r="A43" s="8" t="n">
        <v>40</v>
      </c>
      <c r="B43" s="9" t="n"/>
      <c r="C43" s="9" t="n"/>
      <c r="D43" s="8" t="n"/>
      <c r="E43" s="8" t="n"/>
      <c r="F43" s="8" t="n"/>
      <c r="G43" s="10">
        <f>IFERROR(F43/E43,"")</f>
        <v/>
      </c>
      <c r="H43" s="9" t="n"/>
      <c r="I43" s="11" t="n"/>
      <c r="J43" s="8" t="n"/>
      <c r="K43" s="9" t="n"/>
    </row>
    <row r="44" ht="24" customHeight="1">
      <c r="A44" s="4" t="n">
        <v>41</v>
      </c>
      <c r="B44" s="5" t="n"/>
      <c r="C44" s="5" t="n"/>
      <c r="D44" s="4" t="n"/>
      <c r="E44" s="4" t="n"/>
      <c r="F44" s="4" t="n"/>
      <c r="G44" s="6">
        <f>IFERROR(F44/E44,"")</f>
        <v/>
      </c>
      <c r="H44" s="5" t="n"/>
      <c r="I44" s="7" t="n"/>
      <c r="J44" s="4" t="n"/>
      <c r="K44" s="5" t="n"/>
    </row>
    <row r="45" ht="24" customHeight="1">
      <c r="A45" s="8" t="n">
        <v>42</v>
      </c>
      <c r="B45" s="9" t="n"/>
      <c r="C45" s="9" t="n"/>
      <c r="D45" s="8" t="n"/>
      <c r="E45" s="8" t="n"/>
      <c r="F45" s="8" t="n"/>
      <c r="G45" s="10">
        <f>IFERROR(F45/E45,"")</f>
        <v/>
      </c>
      <c r="H45" s="9" t="n"/>
      <c r="I45" s="11" t="n"/>
      <c r="J45" s="8" t="n"/>
      <c r="K45" s="9" t="n"/>
    </row>
    <row r="46" ht="24" customHeight="1">
      <c r="A46" s="4" t="n">
        <v>43</v>
      </c>
      <c r="B46" s="5" t="n"/>
      <c r="C46" s="5" t="n"/>
      <c r="D46" s="4" t="n"/>
      <c r="E46" s="4" t="n"/>
      <c r="F46" s="4" t="n"/>
      <c r="G46" s="6">
        <f>IFERROR(F46/E46,"")</f>
        <v/>
      </c>
      <c r="H46" s="5" t="n"/>
      <c r="I46" s="7" t="n"/>
      <c r="J46" s="4" t="n"/>
      <c r="K46" s="5" t="n"/>
    </row>
    <row r="47" ht="24" customHeight="1">
      <c r="A47" s="8" t="n">
        <v>44</v>
      </c>
      <c r="B47" s="9" t="n"/>
      <c r="C47" s="9" t="n"/>
      <c r="D47" s="8" t="n"/>
      <c r="E47" s="8" t="n"/>
      <c r="F47" s="8" t="n"/>
      <c r="G47" s="10">
        <f>IFERROR(F47/E47,"")</f>
        <v/>
      </c>
      <c r="H47" s="9" t="n"/>
      <c r="I47" s="11" t="n"/>
      <c r="J47" s="8" t="n"/>
      <c r="K47" s="9" t="n"/>
    </row>
    <row r="48" ht="24" customHeight="1">
      <c r="A48" s="4" t="n">
        <v>45</v>
      </c>
      <c r="B48" s="5" t="n"/>
      <c r="C48" s="5" t="n"/>
      <c r="D48" s="4" t="n"/>
      <c r="E48" s="4" t="n"/>
      <c r="F48" s="4" t="n"/>
      <c r="G48" s="6">
        <f>IFERROR(F48/E48,"")</f>
        <v/>
      </c>
      <c r="H48" s="5" t="n"/>
      <c r="I48" s="7" t="n"/>
      <c r="J48" s="4" t="n"/>
      <c r="K48" s="5" t="n"/>
    </row>
    <row r="49" ht="24" customHeight="1">
      <c r="A49" s="8" t="n">
        <v>46</v>
      </c>
      <c r="B49" s="9" t="n"/>
      <c r="C49" s="9" t="n"/>
      <c r="D49" s="8" t="n"/>
      <c r="E49" s="8" t="n"/>
      <c r="F49" s="8" t="n"/>
      <c r="G49" s="10">
        <f>IFERROR(F49/E49,"")</f>
        <v/>
      </c>
      <c r="H49" s="9" t="n"/>
      <c r="I49" s="11" t="n"/>
      <c r="J49" s="8" t="n"/>
      <c r="K49" s="9" t="n"/>
    </row>
    <row r="50" ht="24" customHeight="1">
      <c r="A50" s="4" t="n">
        <v>47</v>
      </c>
      <c r="B50" s="5" t="n"/>
      <c r="C50" s="5" t="n"/>
      <c r="D50" s="4" t="n"/>
      <c r="E50" s="4" t="n"/>
      <c r="F50" s="4" t="n"/>
      <c r="G50" s="6">
        <f>IFERROR(F50/E50,"")</f>
        <v/>
      </c>
      <c r="H50" s="5" t="n"/>
      <c r="I50" s="7" t="n"/>
      <c r="J50" s="4" t="n"/>
      <c r="K50" s="5" t="n"/>
    </row>
    <row r="51" ht="24" customHeight="1">
      <c r="A51" s="8" t="n">
        <v>48</v>
      </c>
      <c r="B51" s="9" t="n"/>
      <c r="C51" s="9" t="n"/>
      <c r="D51" s="8" t="n"/>
      <c r="E51" s="8" t="n"/>
      <c r="F51" s="8" t="n"/>
      <c r="G51" s="10">
        <f>IFERROR(F51/E51,"")</f>
        <v/>
      </c>
      <c r="H51" s="9" t="n"/>
      <c r="I51" s="11" t="n"/>
      <c r="J51" s="8" t="n"/>
      <c r="K51" s="9" t="n"/>
    </row>
    <row r="52" ht="24" customHeight="1">
      <c r="A52" s="4" t="n">
        <v>49</v>
      </c>
      <c r="B52" s="5" t="n"/>
      <c r="C52" s="5" t="n"/>
      <c r="D52" s="4" t="n"/>
      <c r="E52" s="4" t="n"/>
      <c r="F52" s="4" t="n"/>
      <c r="G52" s="6">
        <f>IFERROR(F52/E52,"")</f>
        <v/>
      </c>
      <c r="H52" s="5" t="n"/>
      <c r="I52" s="7" t="n"/>
      <c r="J52" s="4" t="n"/>
      <c r="K52" s="5" t="n"/>
    </row>
    <row r="53" ht="24" customHeight="1">
      <c r="A53" s="8" t="n">
        <v>50</v>
      </c>
      <c r="B53" s="9" t="n"/>
      <c r="C53" s="9" t="n"/>
      <c r="D53" s="8" t="n"/>
      <c r="E53" s="8" t="n"/>
      <c r="F53" s="8" t="n"/>
      <c r="G53" s="10">
        <f>IFERROR(F53/E53,"")</f>
        <v/>
      </c>
      <c r="H53" s="9" t="n"/>
      <c r="I53" s="11" t="n"/>
      <c r="J53" s="8" t="n"/>
      <c r="K53" s="9" t="n"/>
    </row>
    <row r="54" ht="24" customHeight="1">
      <c r="A54" s="4" t="n">
        <v>51</v>
      </c>
      <c r="B54" s="5" t="n"/>
      <c r="C54" s="5" t="n"/>
      <c r="D54" s="4" t="n"/>
      <c r="E54" s="4" t="n"/>
      <c r="F54" s="4" t="n"/>
      <c r="G54" s="6">
        <f>IFERROR(F54/E54,"")</f>
        <v/>
      </c>
      <c r="H54" s="5" t="n"/>
      <c r="I54" s="7" t="n"/>
      <c r="J54" s="4" t="n"/>
      <c r="K54" s="5" t="n"/>
    </row>
    <row r="55" ht="24" customHeight="1">
      <c r="A55" s="8" t="n">
        <v>52</v>
      </c>
      <c r="B55" s="9" t="n"/>
      <c r="C55" s="9" t="n"/>
      <c r="D55" s="8" t="n"/>
      <c r="E55" s="8" t="n"/>
      <c r="F55" s="8" t="n"/>
      <c r="G55" s="10">
        <f>IFERROR(F55/E55,"")</f>
        <v/>
      </c>
      <c r="H55" s="9" t="n"/>
      <c r="I55" s="11" t="n"/>
      <c r="J55" s="8" t="n"/>
      <c r="K55" s="9" t="n"/>
    </row>
    <row r="56" ht="24" customHeight="1">
      <c r="A56" s="4" t="n">
        <v>53</v>
      </c>
      <c r="B56" s="5" t="n"/>
      <c r="C56" s="5" t="n"/>
      <c r="D56" s="4" t="n"/>
      <c r="E56" s="4" t="n"/>
      <c r="F56" s="4" t="n"/>
      <c r="G56" s="6">
        <f>IFERROR(F56/E56,"")</f>
        <v/>
      </c>
      <c r="H56" s="5" t="n"/>
      <c r="I56" s="7" t="n"/>
      <c r="J56" s="4" t="n"/>
      <c r="K56" s="5" t="n"/>
    </row>
    <row r="57" ht="24" customHeight="1">
      <c r="A57" s="8" t="n">
        <v>54</v>
      </c>
      <c r="B57" s="9" t="n"/>
      <c r="C57" s="9" t="n"/>
      <c r="D57" s="8" t="n"/>
      <c r="E57" s="8" t="n"/>
      <c r="F57" s="8" t="n"/>
      <c r="G57" s="10">
        <f>IFERROR(F57/E57,"")</f>
        <v/>
      </c>
      <c r="H57" s="9" t="n"/>
      <c r="I57" s="11" t="n"/>
      <c r="J57" s="8" t="n"/>
      <c r="K57" s="9" t="n"/>
    </row>
    <row r="58" ht="24" customHeight="1">
      <c r="A58" s="4" t="n">
        <v>55</v>
      </c>
      <c r="B58" s="5" t="n"/>
      <c r="C58" s="5" t="n"/>
      <c r="D58" s="4" t="n"/>
      <c r="E58" s="4" t="n"/>
      <c r="F58" s="4" t="n"/>
      <c r="G58" s="6">
        <f>IFERROR(F58/E58,"")</f>
        <v/>
      </c>
      <c r="H58" s="5" t="n"/>
      <c r="I58" s="7" t="n"/>
      <c r="J58" s="4" t="n"/>
      <c r="K58" s="5" t="n"/>
    </row>
    <row r="59" ht="24" customHeight="1">
      <c r="A59" s="8" t="n">
        <v>56</v>
      </c>
      <c r="B59" s="9" t="n"/>
      <c r="C59" s="9" t="n"/>
      <c r="D59" s="8" t="n"/>
      <c r="E59" s="8" t="n"/>
      <c r="F59" s="8" t="n"/>
      <c r="G59" s="10">
        <f>IFERROR(F59/E59,"")</f>
        <v/>
      </c>
      <c r="H59" s="9" t="n"/>
      <c r="I59" s="11" t="n"/>
      <c r="J59" s="8" t="n"/>
      <c r="K59" s="9" t="n"/>
    </row>
    <row r="60" ht="24" customHeight="1">
      <c r="A60" s="4" t="n">
        <v>57</v>
      </c>
      <c r="B60" s="5" t="n"/>
      <c r="C60" s="5" t="n"/>
      <c r="D60" s="4" t="n"/>
      <c r="E60" s="4" t="n"/>
      <c r="F60" s="4" t="n"/>
      <c r="G60" s="6">
        <f>IFERROR(F60/E60,"")</f>
        <v/>
      </c>
      <c r="H60" s="5" t="n"/>
      <c r="I60" s="7" t="n"/>
      <c r="J60" s="4" t="n"/>
      <c r="K60" s="5" t="n"/>
    </row>
    <row r="61" ht="24" customHeight="1">
      <c r="A61" s="8" t="n">
        <v>58</v>
      </c>
      <c r="B61" s="9" t="n"/>
      <c r="C61" s="9" t="n"/>
      <c r="D61" s="8" t="n"/>
      <c r="E61" s="8" t="n"/>
      <c r="F61" s="8" t="n"/>
      <c r="G61" s="10">
        <f>IFERROR(F61/E61,"")</f>
        <v/>
      </c>
      <c r="H61" s="9" t="n"/>
      <c r="I61" s="11" t="n"/>
      <c r="J61" s="8" t="n"/>
      <c r="K61" s="9" t="n"/>
    </row>
    <row r="62" ht="24" customHeight="1">
      <c r="A62" s="4" t="n">
        <v>59</v>
      </c>
      <c r="B62" s="5" t="n"/>
      <c r="C62" s="5" t="n"/>
      <c r="D62" s="4" t="n"/>
      <c r="E62" s="4" t="n"/>
      <c r="F62" s="4" t="n"/>
      <c r="G62" s="6">
        <f>IFERROR(F62/E62,"")</f>
        <v/>
      </c>
      <c r="H62" s="5" t="n"/>
      <c r="I62" s="7" t="n"/>
      <c r="J62" s="4" t="n"/>
      <c r="K62" s="5" t="n"/>
    </row>
    <row r="63" ht="24" customHeight="1">
      <c r="A63" s="8" t="n">
        <v>60</v>
      </c>
      <c r="B63" s="9" t="n"/>
      <c r="C63" s="9" t="n"/>
      <c r="D63" s="8" t="n"/>
      <c r="E63" s="8" t="n"/>
      <c r="F63" s="8" t="n"/>
      <c r="G63" s="10">
        <f>IFERROR(F63/E63,"")</f>
        <v/>
      </c>
      <c r="H63" s="9" t="n"/>
      <c r="I63" s="11" t="n"/>
      <c r="J63" s="8" t="n"/>
      <c r="K63" s="9" t="n"/>
    </row>
    <row r="64" ht="24" customHeight="1">
      <c r="A64" s="4" t="n">
        <v>61</v>
      </c>
      <c r="B64" s="5" t="n"/>
      <c r="C64" s="5" t="n"/>
      <c r="D64" s="4" t="n"/>
      <c r="E64" s="4" t="n"/>
      <c r="F64" s="4" t="n"/>
      <c r="G64" s="6">
        <f>IFERROR(F64/E64,"")</f>
        <v/>
      </c>
      <c r="H64" s="5" t="n"/>
      <c r="I64" s="7" t="n"/>
      <c r="J64" s="4" t="n"/>
      <c r="K64" s="5" t="n"/>
    </row>
    <row r="65" ht="24" customHeight="1">
      <c r="A65" s="8" t="n">
        <v>62</v>
      </c>
      <c r="B65" s="9" t="n"/>
      <c r="C65" s="9" t="n"/>
      <c r="D65" s="8" t="n"/>
      <c r="E65" s="8" t="n"/>
      <c r="F65" s="8" t="n"/>
      <c r="G65" s="10">
        <f>IFERROR(F65/E65,"")</f>
        <v/>
      </c>
      <c r="H65" s="9" t="n"/>
      <c r="I65" s="11" t="n"/>
      <c r="J65" s="8" t="n"/>
      <c r="K65" s="9" t="n"/>
    </row>
    <row r="66" ht="24" customHeight="1">
      <c r="A66" s="4" t="n">
        <v>63</v>
      </c>
      <c r="B66" s="5" t="n"/>
      <c r="C66" s="5" t="n"/>
      <c r="D66" s="4" t="n"/>
      <c r="E66" s="4" t="n"/>
      <c r="F66" s="4" t="n"/>
      <c r="G66" s="6">
        <f>IFERROR(F66/E66,"")</f>
        <v/>
      </c>
      <c r="H66" s="5" t="n"/>
      <c r="I66" s="7" t="n"/>
      <c r="J66" s="4" t="n"/>
      <c r="K66" s="5" t="n"/>
    </row>
    <row r="67" ht="24" customHeight="1">
      <c r="A67" s="8" t="n">
        <v>64</v>
      </c>
      <c r="B67" s="9" t="n"/>
      <c r="C67" s="9" t="n"/>
      <c r="D67" s="8" t="n"/>
      <c r="E67" s="8" t="n"/>
      <c r="F67" s="8" t="n"/>
      <c r="G67" s="10">
        <f>IFERROR(F67/E67,"")</f>
        <v/>
      </c>
      <c r="H67" s="9" t="n"/>
      <c r="I67" s="11" t="n"/>
      <c r="J67" s="8" t="n"/>
      <c r="K67" s="9" t="n"/>
    </row>
    <row r="68" ht="24" customHeight="1">
      <c r="A68" s="4" t="n">
        <v>65</v>
      </c>
      <c r="B68" s="5" t="n"/>
      <c r="C68" s="5" t="n"/>
      <c r="D68" s="4" t="n"/>
      <c r="E68" s="4" t="n"/>
      <c r="F68" s="4" t="n"/>
      <c r="G68" s="6">
        <f>IFERROR(F68/E68,"")</f>
        <v/>
      </c>
      <c r="H68" s="5" t="n"/>
      <c r="I68" s="7" t="n"/>
      <c r="J68" s="4" t="n"/>
      <c r="K68" s="5" t="n"/>
    </row>
    <row r="69" ht="24" customHeight="1">
      <c r="A69" s="8" t="n">
        <v>66</v>
      </c>
      <c r="B69" s="9" t="n"/>
      <c r="C69" s="9" t="n"/>
      <c r="D69" s="8" t="n"/>
      <c r="E69" s="8" t="n"/>
      <c r="F69" s="8" t="n"/>
      <c r="G69" s="10">
        <f>IFERROR(F69/E69,"")</f>
        <v/>
      </c>
      <c r="H69" s="9" t="n"/>
      <c r="I69" s="11" t="n"/>
      <c r="J69" s="8" t="n"/>
      <c r="K69" s="9" t="n"/>
    </row>
    <row r="70" ht="24" customHeight="1">
      <c r="A70" s="4" t="n">
        <v>67</v>
      </c>
      <c r="B70" s="5" t="n"/>
      <c r="C70" s="5" t="n"/>
      <c r="D70" s="4" t="n"/>
      <c r="E70" s="4" t="n"/>
      <c r="F70" s="4" t="n"/>
      <c r="G70" s="6">
        <f>IFERROR(F70/E70,"")</f>
        <v/>
      </c>
      <c r="H70" s="5" t="n"/>
      <c r="I70" s="7" t="n"/>
      <c r="J70" s="4" t="n"/>
      <c r="K70" s="5" t="n"/>
    </row>
    <row r="71" ht="24" customHeight="1">
      <c r="A71" s="8" t="n">
        <v>68</v>
      </c>
      <c r="B71" s="9" t="n"/>
      <c r="C71" s="9" t="n"/>
      <c r="D71" s="8" t="n"/>
      <c r="E71" s="8" t="n"/>
      <c r="F71" s="8" t="n"/>
      <c r="G71" s="10">
        <f>IFERROR(F71/E71,"")</f>
        <v/>
      </c>
      <c r="H71" s="9" t="n"/>
      <c r="I71" s="11" t="n"/>
      <c r="J71" s="8" t="n"/>
      <c r="K71" s="9" t="n"/>
    </row>
    <row r="72" ht="24" customHeight="1">
      <c r="A72" s="4" t="n">
        <v>69</v>
      </c>
      <c r="B72" s="5" t="n"/>
      <c r="C72" s="5" t="n"/>
      <c r="D72" s="4" t="n"/>
      <c r="E72" s="4" t="n"/>
      <c r="F72" s="4" t="n"/>
      <c r="G72" s="6">
        <f>IFERROR(F72/E72,"")</f>
        <v/>
      </c>
      <c r="H72" s="5" t="n"/>
      <c r="I72" s="7" t="n"/>
      <c r="J72" s="4" t="n"/>
      <c r="K72" s="5" t="n"/>
    </row>
    <row r="73" ht="24" customHeight="1">
      <c r="A73" s="8" t="n">
        <v>70</v>
      </c>
      <c r="B73" s="9" t="n"/>
      <c r="C73" s="9" t="n"/>
      <c r="D73" s="8" t="n"/>
      <c r="E73" s="8" t="n"/>
      <c r="F73" s="8" t="n"/>
      <c r="G73" s="10">
        <f>IFERROR(F73/E73,"")</f>
        <v/>
      </c>
      <c r="H73" s="9" t="n"/>
      <c r="I73" s="11" t="n"/>
      <c r="J73" s="8" t="n"/>
      <c r="K73" s="9" t="n"/>
    </row>
    <row r="74" ht="24" customHeight="1">
      <c r="A74" s="4" t="n">
        <v>71</v>
      </c>
      <c r="B74" s="5" t="n"/>
      <c r="C74" s="5" t="n"/>
      <c r="D74" s="4" t="n"/>
      <c r="E74" s="4" t="n"/>
      <c r="F74" s="4" t="n"/>
      <c r="G74" s="6">
        <f>IFERROR(F74/E74,"")</f>
        <v/>
      </c>
      <c r="H74" s="5" t="n"/>
      <c r="I74" s="7" t="n"/>
      <c r="J74" s="4" t="n"/>
      <c r="K74" s="5" t="n"/>
    </row>
    <row r="75" ht="24" customHeight="1">
      <c r="A75" s="8" t="n">
        <v>72</v>
      </c>
      <c r="B75" s="9" t="n"/>
      <c r="C75" s="9" t="n"/>
      <c r="D75" s="8" t="n"/>
      <c r="E75" s="8" t="n"/>
      <c r="F75" s="8" t="n"/>
      <c r="G75" s="10">
        <f>IFERROR(F75/E75,"")</f>
        <v/>
      </c>
      <c r="H75" s="9" t="n"/>
      <c r="I75" s="11" t="n"/>
      <c r="J75" s="8" t="n"/>
      <c r="K75" s="9" t="n"/>
    </row>
    <row r="76" ht="24" customHeight="1">
      <c r="A76" s="4" t="n">
        <v>73</v>
      </c>
      <c r="B76" s="5" t="n"/>
      <c r="C76" s="5" t="n"/>
      <c r="D76" s="4" t="n"/>
      <c r="E76" s="4" t="n"/>
      <c r="F76" s="4" t="n"/>
      <c r="G76" s="6">
        <f>IFERROR(F76/E76,"")</f>
        <v/>
      </c>
      <c r="H76" s="5" t="n"/>
      <c r="I76" s="7" t="n"/>
      <c r="J76" s="4" t="n"/>
      <c r="K76" s="5" t="n"/>
    </row>
    <row r="77" ht="24" customHeight="1">
      <c r="A77" s="8" t="n">
        <v>74</v>
      </c>
      <c r="B77" s="9" t="n"/>
      <c r="C77" s="9" t="n"/>
      <c r="D77" s="8" t="n"/>
      <c r="E77" s="8" t="n"/>
      <c r="F77" s="8" t="n"/>
      <c r="G77" s="10">
        <f>IFERROR(F77/E77,"")</f>
        <v/>
      </c>
      <c r="H77" s="9" t="n"/>
      <c r="I77" s="11" t="n"/>
      <c r="J77" s="8" t="n"/>
      <c r="K77" s="9" t="n"/>
    </row>
    <row r="78" ht="24" customHeight="1">
      <c r="A78" s="4" t="n">
        <v>75</v>
      </c>
      <c r="B78" s="5" t="n"/>
      <c r="C78" s="5" t="n"/>
      <c r="D78" s="4" t="n"/>
      <c r="E78" s="4" t="n"/>
      <c r="F78" s="4" t="n"/>
      <c r="G78" s="6">
        <f>IFERROR(F78/E78,"")</f>
        <v/>
      </c>
      <c r="H78" s="5" t="n"/>
      <c r="I78" s="7" t="n"/>
      <c r="J78" s="4" t="n"/>
      <c r="K78" s="5" t="n"/>
    </row>
    <row r="79" ht="24" customHeight="1">
      <c r="A79" s="8" t="n">
        <v>76</v>
      </c>
      <c r="B79" s="9" t="n"/>
      <c r="C79" s="9" t="n"/>
      <c r="D79" s="8" t="n"/>
      <c r="E79" s="8" t="n"/>
      <c r="F79" s="8" t="n"/>
      <c r="G79" s="10">
        <f>IFERROR(F79/E79,"")</f>
        <v/>
      </c>
      <c r="H79" s="9" t="n"/>
      <c r="I79" s="11" t="n"/>
      <c r="J79" s="8" t="n"/>
      <c r="K79" s="9" t="n"/>
    </row>
    <row r="80" ht="24" customHeight="1">
      <c r="A80" s="4" t="n">
        <v>77</v>
      </c>
      <c r="B80" s="5" t="n"/>
      <c r="C80" s="5" t="n"/>
      <c r="D80" s="4" t="n"/>
      <c r="E80" s="4" t="n"/>
      <c r="F80" s="4" t="n"/>
      <c r="G80" s="6">
        <f>IFERROR(F80/E80,"")</f>
        <v/>
      </c>
      <c r="H80" s="5" t="n"/>
      <c r="I80" s="7" t="n"/>
      <c r="J80" s="4" t="n"/>
      <c r="K80" s="5" t="n"/>
    </row>
    <row r="81" ht="24" customHeight="1">
      <c r="A81" s="8" t="n">
        <v>78</v>
      </c>
      <c r="B81" s="9" t="n"/>
      <c r="C81" s="9" t="n"/>
      <c r="D81" s="8" t="n"/>
      <c r="E81" s="8" t="n"/>
      <c r="F81" s="8" t="n"/>
      <c r="G81" s="10">
        <f>IFERROR(F81/E81,"")</f>
        <v/>
      </c>
      <c r="H81" s="9" t="n"/>
      <c r="I81" s="11" t="n"/>
      <c r="J81" s="8" t="n"/>
      <c r="K81" s="9" t="n"/>
    </row>
    <row r="82" ht="24" customHeight="1">
      <c r="A82" s="4" t="n">
        <v>79</v>
      </c>
      <c r="B82" s="5" t="n"/>
      <c r="C82" s="5" t="n"/>
      <c r="D82" s="4" t="n"/>
      <c r="E82" s="4" t="n"/>
      <c r="F82" s="4" t="n"/>
      <c r="G82" s="6">
        <f>IFERROR(F82/E82,"")</f>
        <v/>
      </c>
      <c r="H82" s="5" t="n"/>
      <c r="I82" s="7" t="n"/>
      <c r="J82" s="4" t="n"/>
      <c r="K82" s="5" t="n"/>
    </row>
    <row r="83" ht="24" customHeight="1">
      <c r="A83" s="8" t="n">
        <v>80</v>
      </c>
      <c r="B83" s="9" t="n"/>
      <c r="C83" s="9" t="n"/>
      <c r="D83" s="8" t="n"/>
      <c r="E83" s="8" t="n"/>
      <c r="F83" s="8" t="n"/>
      <c r="G83" s="10">
        <f>IFERROR(F83/E83,"")</f>
        <v/>
      </c>
      <c r="H83" s="9" t="n"/>
      <c r="I83" s="11" t="n"/>
      <c r="J83" s="8" t="n"/>
      <c r="K83" s="9" t="n"/>
    </row>
    <row r="84" ht="24" customHeight="1">
      <c r="A84" s="4" t="n">
        <v>81</v>
      </c>
      <c r="B84" s="5" t="n"/>
      <c r="C84" s="5" t="n"/>
      <c r="D84" s="4" t="n"/>
      <c r="E84" s="4" t="n"/>
      <c r="F84" s="4" t="n"/>
      <c r="G84" s="6">
        <f>IFERROR(F84/E84,"")</f>
        <v/>
      </c>
      <c r="H84" s="5" t="n"/>
      <c r="I84" s="7" t="n"/>
      <c r="J84" s="4" t="n"/>
      <c r="K84" s="5" t="n"/>
    </row>
    <row r="85" ht="24" customHeight="1">
      <c r="A85" s="8" t="n">
        <v>82</v>
      </c>
      <c r="B85" s="9" t="n"/>
      <c r="C85" s="9" t="n"/>
      <c r="D85" s="8" t="n"/>
      <c r="E85" s="8" t="n"/>
      <c r="F85" s="8" t="n"/>
      <c r="G85" s="10">
        <f>IFERROR(F85/E85,"")</f>
        <v/>
      </c>
      <c r="H85" s="9" t="n"/>
      <c r="I85" s="11" t="n"/>
      <c r="J85" s="8" t="n"/>
      <c r="K85" s="9" t="n"/>
    </row>
    <row r="86" ht="24" customHeight="1">
      <c r="A86" s="4" t="n">
        <v>83</v>
      </c>
      <c r="B86" s="5" t="n"/>
      <c r="C86" s="5" t="n"/>
      <c r="D86" s="4" t="n"/>
      <c r="E86" s="4" t="n"/>
      <c r="F86" s="4" t="n"/>
      <c r="G86" s="6">
        <f>IFERROR(F86/E86,"")</f>
        <v/>
      </c>
      <c r="H86" s="5" t="n"/>
      <c r="I86" s="7" t="n"/>
      <c r="J86" s="4" t="n"/>
      <c r="K86" s="5" t="n"/>
    </row>
    <row r="87" ht="24" customHeight="1">
      <c r="A87" s="8" t="n">
        <v>84</v>
      </c>
      <c r="B87" s="9" t="n"/>
      <c r="C87" s="9" t="n"/>
      <c r="D87" s="8" t="n"/>
      <c r="E87" s="8" t="n"/>
      <c r="F87" s="8" t="n"/>
      <c r="G87" s="10">
        <f>IFERROR(F87/E87,"")</f>
        <v/>
      </c>
      <c r="H87" s="9" t="n"/>
      <c r="I87" s="11" t="n"/>
      <c r="J87" s="8" t="n"/>
      <c r="K87" s="9" t="n"/>
    </row>
    <row r="88" ht="24" customHeight="1">
      <c r="A88" s="4" t="n">
        <v>85</v>
      </c>
      <c r="B88" s="5" t="n"/>
      <c r="C88" s="5" t="n"/>
      <c r="D88" s="4" t="n"/>
      <c r="E88" s="4" t="n"/>
      <c r="F88" s="4" t="n"/>
      <c r="G88" s="6">
        <f>IFERROR(F88/E88,"")</f>
        <v/>
      </c>
      <c r="H88" s="5" t="n"/>
      <c r="I88" s="7" t="n"/>
      <c r="J88" s="4" t="n"/>
      <c r="K88" s="5" t="n"/>
    </row>
    <row r="89" ht="24" customHeight="1">
      <c r="A89" s="8" t="n">
        <v>86</v>
      </c>
      <c r="B89" s="9" t="n"/>
      <c r="C89" s="9" t="n"/>
      <c r="D89" s="8" t="n"/>
      <c r="E89" s="8" t="n"/>
      <c r="F89" s="8" t="n"/>
      <c r="G89" s="10">
        <f>IFERROR(F89/E89,"")</f>
        <v/>
      </c>
      <c r="H89" s="9" t="n"/>
      <c r="I89" s="11" t="n"/>
      <c r="J89" s="8" t="n"/>
      <c r="K89" s="9" t="n"/>
    </row>
    <row r="90" ht="24" customHeight="1">
      <c r="A90" s="4" t="n">
        <v>87</v>
      </c>
      <c r="B90" s="5" t="n"/>
      <c r="C90" s="5" t="n"/>
      <c r="D90" s="4" t="n"/>
      <c r="E90" s="4" t="n"/>
      <c r="F90" s="4" t="n"/>
      <c r="G90" s="6">
        <f>IFERROR(F90/E90,"")</f>
        <v/>
      </c>
      <c r="H90" s="5" t="n"/>
      <c r="I90" s="7" t="n"/>
      <c r="J90" s="4" t="n"/>
      <c r="K90" s="5" t="n"/>
    </row>
    <row r="91" ht="24" customHeight="1">
      <c r="A91" s="8" t="n">
        <v>88</v>
      </c>
      <c r="B91" s="9" t="n"/>
      <c r="C91" s="9" t="n"/>
      <c r="D91" s="8" t="n"/>
      <c r="E91" s="8" t="n"/>
      <c r="F91" s="8" t="n"/>
      <c r="G91" s="10">
        <f>IFERROR(F91/E91,"")</f>
        <v/>
      </c>
      <c r="H91" s="9" t="n"/>
      <c r="I91" s="11" t="n"/>
      <c r="J91" s="8" t="n"/>
      <c r="K91" s="9" t="n"/>
    </row>
    <row r="92" ht="24" customHeight="1">
      <c r="A92" s="4" t="n">
        <v>89</v>
      </c>
      <c r="B92" s="5" t="n"/>
      <c r="C92" s="5" t="n"/>
      <c r="D92" s="4" t="n"/>
      <c r="E92" s="4" t="n"/>
      <c r="F92" s="4" t="n"/>
      <c r="G92" s="6">
        <f>IFERROR(F92/E92,"")</f>
        <v/>
      </c>
      <c r="H92" s="5" t="n"/>
      <c r="I92" s="7" t="n"/>
      <c r="J92" s="4" t="n"/>
      <c r="K92" s="5" t="n"/>
    </row>
    <row r="93" ht="24" customHeight="1">
      <c r="A93" s="8" t="n">
        <v>90</v>
      </c>
      <c r="B93" s="9" t="n"/>
      <c r="C93" s="9" t="n"/>
      <c r="D93" s="8" t="n"/>
      <c r="E93" s="8" t="n"/>
      <c r="F93" s="8" t="n"/>
      <c r="G93" s="10">
        <f>IFERROR(F93/E93,"")</f>
        <v/>
      </c>
      <c r="H93" s="9" t="n"/>
      <c r="I93" s="11" t="n"/>
      <c r="J93" s="8" t="n"/>
      <c r="K93" s="9" t="n"/>
    </row>
    <row r="94" ht="24" customHeight="1">
      <c r="A94" s="4" t="n">
        <v>91</v>
      </c>
      <c r="B94" s="5" t="n"/>
      <c r="C94" s="5" t="n"/>
      <c r="D94" s="4" t="n"/>
      <c r="E94" s="4" t="n"/>
      <c r="F94" s="4" t="n"/>
      <c r="G94" s="6">
        <f>IFERROR(F94/E94,"")</f>
        <v/>
      </c>
      <c r="H94" s="5" t="n"/>
      <c r="I94" s="7" t="n"/>
      <c r="J94" s="4" t="n"/>
      <c r="K94" s="5" t="n"/>
    </row>
    <row r="95" ht="24" customHeight="1">
      <c r="A95" s="8" t="n">
        <v>92</v>
      </c>
      <c r="B95" s="9" t="n"/>
      <c r="C95" s="9" t="n"/>
      <c r="D95" s="8" t="n"/>
      <c r="E95" s="8" t="n"/>
      <c r="F95" s="8" t="n"/>
      <c r="G95" s="10">
        <f>IFERROR(F95/E95,"")</f>
        <v/>
      </c>
      <c r="H95" s="9" t="n"/>
      <c r="I95" s="11" t="n"/>
      <c r="J95" s="8" t="n"/>
      <c r="K95" s="9" t="n"/>
    </row>
    <row r="96" ht="24" customHeight="1">
      <c r="A96" s="4" t="n">
        <v>93</v>
      </c>
      <c r="B96" s="5" t="n"/>
      <c r="C96" s="5" t="n"/>
      <c r="D96" s="4" t="n"/>
      <c r="E96" s="4" t="n"/>
      <c r="F96" s="4" t="n"/>
      <c r="G96" s="6">
        <f>IFERROR(F96/E96,"")</f>
        <v/>
      </c>
      <c r="H96" s="5" t="n"/>
      <c r="I96" s="7" t="n"/>
      <c r="J96" s="4" t="n"/>
      <c r="K96" s="5" t="n"/>
    </row>
    <row r="97" ht="24" customHeight="1">
      <c r="A97" s="8" t="n">
        <v>94</v>
      </c>
      <c r="B97" s="9" t="n"/>
      <c r="C97" s="9" t="n"/>
      <c r="D97" s="8" t="n"/>
      <c r="E97" s="8" t="n"/>
      <c r="F97" s="8" t="n"/>
      <c r="G97" s="10">
        <f>IFERROR(F97/E97,"")</f>
        <v/>
      </c>
      <c r="H97" s="9" t="n"/>
      <c r="I97" s="11" t="n"/>
      <c r="J97" s="8" t="n"/>
      <c r="K97" s="9" t="n"/>
    </row>
    <row r="98" ht="24" customHeight="1">
      <c r="A98" s="4" t="n">
        <v>95</v>
      </c>
      <c r="B98" s="5" t="n"/>
      <c r="C98" s="5" t="n"/>
      <c r="D98" s="4" t="n"/>
      <c r="E98" s="4" t="n"/>
      <c r="F98" s="4" t="n"/>
      <c r="G98" s="6">
        <f>IFERROR(F98/E98,"")</f>
        <v/>
      </c>
      <c r="H98" s="5" t="n"/>
      <c r="I98" s="7" t="n"/>
      <c r="J98" s="4" t="n"/>
      <c r="K98" s="5" t="n"/>
    </row>
    <row r="99" ht="24" customHeight="1">
      <c r="A99" s="8" t="n">
        <v>96</v>
      </c>
      <c r="B99" s="9" t="n"/>
      <c r="C99" s="9" t="n"/>
      <c r="D99" s="8" t="n"/>
      <c r="E99" s="8" t="n"/>
      <c r="F99" s="8" t="n"/>
      <c r="G99" s="10">
        <f>IFERROR(F99/E99,"")</f>
        <v/>
      </c>
      <c r="H99" s="9" t="n"/>
      <c r="I99" s="11" t="n"/>
      <c r="J99" s="8" t="n"/>
      <c r="K99" s="9" t="n"/>
    </row>
    <row r="100" ht="24" customHeight="1">
      <c r="A100" s="4" t="n">
        <v>97</v>
      </c>
      <c r="B100" s="5" t="n"/>
      <c r="C100" s="5" t="n"/>
      <c r="D100" s="4" t="n"/>
      <c r="E100" s="4" t="n"/>
      <c r="F100" s="4" t="n"/>
      <c r="G100" s="6">
        <f>IFERROR(F100/E100,"")</f>
        <v/>
      </c>
      <c r="H100" s="5" t="n"/>
      <c r="I100" s="7" t="n"/>
      <c r="J100" s="4" t="n"/>
      <c r="K100" s="5" t="n"/>
    </row>
    <row r="101" ht="24" customHeight="1">
      <c r="A101" s="8" t="n">
        <v>98</v>
      </c>
      <c r="B101" s="9" t="n"/>
      <c r="C101" s="9" t="n"/>
      <c r="D101" s="8" t="n"/>
      <c r="E101" s="8" t="n"/>
      <c r="F101" s="8" t="n"/>
      <c r="G101" s="10">
        <f>IFERROR(F101/E101,"")</f>
        <v/>
      </c>
      <c r="H101" s="9" t="n"/>
      <c r="I101" s="11" t="n"/>
      <c r="J101" s="8" t="n"/>
      <c r="K101" s="9" t="n"/>
    </row>
    <row r="102" ht="24" customHeight="1">
      <c r="A102" s="4" t="n">
        <v>99</v>
      </c>
      <c r="B102" s="5" t="n"/>
      <c r="C102" s="5" t="n"/>
      <c r="D102" s="4" t="n"/>
      <c r="E102" s="4" t="n"/>
      <c r="F102" s="4" t="n"/>
      <c r="G102" s="6">
        <f>IFERROR(F102/E102,"")</f>
        <v/>
      </c>
      <c r="H102" s="5" t="n"/>
      <c r="I102" s="7" t="n"/>
      <c r="J102" s="4" t="n"/>
      <c r="K102" s="5" t="n"/>
    </row>
    <row r="103" ht="24" customHeight="1">
      <c r="A103" s="8" t="n">
        <v>100</v>
      </c>
      <c r="B103" s="9" t="n"/>
      <c r="C103" s="9" t="n"/>
      <c r="D103" s="8" t="n"/>
      <c r="E103" s="8" t="n"/>
      <c r="F103" s="8" t="n"/>
      <c r="G103" s="10">
        <f>IFERROR(F103/E103,"")</f>
        <v/>
      </c>
      <c r="H103" s="9" t="n"/>
      <c r="I103" s="11" t="n"/>
      <c r="J103" s="8" t="n"/>
      <c r="K103" s="9" t="n"/>
    </row>
    <row r="106" ht="28" customHeight="1">
      <c r="A106" s="12" t="inlineStr">
        <is>
          <t>📦  COMPLETED PATH ARCHIVES  —  Managed automatically by Apps Script</t>
        </is>
      </c>
    </row>
    <row r="107" ht="20" customHeight="1">
      <c r="A107" s="13" t="inlineStr">
        <is>
          <t>When a Learning Path is marked Completed, its tasks are moved here as a collapsible group. Click the + / − on the left row numbers to expand.</t>
        </is>
      </c>
    </row>
  </sheetData>
  <mergeCells count="4">
    <mergeCell ref="A2:K2"/>
    <mergeCell ref="A107:K107"/>
    <mergeCell ref="A1:K1"/>
    <mergeCell ref="A106:K106"/>
  </mergeCells>
  <conditionalFormatting sqref="A4:K103">
    <cfRule type="expression" priority="1" dxfId="0">
      <formula>$J4="Completed"</formula>
    </cfRule>
    <cfRule type="expression" priority="2" dxfId="1">
      <formula>$J4="In Progress"</formula>
    </cfRule>
    <cfRule type="expression" priority="3" dxfId="2">
      <formula>$J4="On Hold"</formula>
    </cfRule>
    <cfRule type="expression" priority="4" dxfId="3">
      <formula>$J4="Not Started"</formula>
    </cfRule>
  </conditionalFormatting>
  <dataValidations count="200">
    <dataValidation sqref="D4" showDropDown="0" showInputMessage="0" showErrorMessage="0" allowBlank="1" type="list">
      <formula1>'⚙️ Config'!$E$2:$E$9</formula1>
    </dataValidation>
    <dataValidation sqref="J4" showDropDown="0" showInputMessage="0" showErrorMessage="0" allowBlank="1" type="list">
      <formula1>'⚙️ Config'!$F$2:$F$5</formula1>
    </dataValidation>
    <dataValidation sqref="D5" showDropDown="0" showInputMessage="0" showErrorMessage="0" allowBlank="1" type="list">
      <formula1>'⚙️ Config'!$E$2:$E$9</formula1>
    </dataValidation>
    <dataValidation sqref="J5" showDropDown="0" showInputMessage="0" showErrorMessage="0" allowBlank="1" type="list">
      <formula1>'⚙️ Config'!$F$2:$F$5</formula1>
    </dataValidation>
    <dataValidation sqref="D6" showDropDown="0" showInputMessage="0" showErrorMessage="0" allowBlank="1" type="list">
      <formula1>'⚙️ Config'!$E$2:$E$9</formula1>
    </dataValidation>
    <dataValidation sqref="J6" showDropDown="0" showInputMessage="0" showErrorMessage="0" allowBlank="1" type="list">
      <formula1>'⚙️ Config'!$F$2:$F$5</formula1>
    </dataValidation>
    <dataValidation sqref="D7" showDropDown="0" showInputMessage="0" showErrorMessage="0" allowBlank="1" type="list">
      <formula1>'⚙️ Config'!$E$2:$E$9</formula1>
    </dataValidation>
    <dataValidation sqref="J7" showDropDown="0" showInputMessage="0" showErrorMessage="0" allowBlank="1" type="list">
      <formula1>'⚙️ Config'!$F$2:$F$5</formula1>
    </dataValidation>
    <dataValidation sqref="D8" showDropDown="0" showInputMessage="0" showErrorMessage="0" allowBlank="1" type="list">
      <formula1>'⚙️ Config'!$E$2:$E$9</formula1>
    </dataValidation>
    <dataValidation sqref="J8" showDropDown="0" showInputMessage="0" showErrorMessage="0" allowBlank="1" type="list">
      <formula1>'⚙️ Config'!$F$2:$F$5</formula1>
    </dataValidation>
    <dataValidation sqref="D9" showDropDown="0" showInputMessage="0" showErrorMessage="0" allowBlank="1" type="list">
      <formula1>'⚙️ Config'!$E$2:$E$9</formula1>
    </dataValidation>
    <dataValidation sqref="J9" showDropDown="0" showInputMessage="0" showErrorMessage="0" allowBlank="1" type="list">
      <formula1>'⚙️ Config'!$F$2:$F$5</formula1>
    </dataValidation>
    <dataValidation sqref="D10" showDropDown="0" showInputMessage="0" showErrorMessage="0" allowBlank="1" type="list">
      <formula1>'⚙️ Config'!$E$2:$E$9</formula1>
    </dataValidation>
    <dataValidation sqref="J10" showDropDown="0" showInputMessage="0" showErrorMessage="0" allowBlank="1" type="list">
      <formula1>'⚙️ Config'!$F$2:$F$5</formula1>
    </dataValidation>
    <dataValidation sqref="D11" showDropDown="0" showInputMessage="0" showErrorMessage="0" allowBlank="1" type="list">
      <formula1>'⚙️ Config'!$E$2:$E$9</formula1>
    </dataValidation>
    <dataValidation sqref="J11" showDropDown="0" showInputMessage="0" showErrorMessage="0" allowBlank="1" type="list">
      <formula1>'⚙️ Config'!$F$2:$F$5</formula1>
    </dataValidation>
    <dataValidation sqref="D12" showDropDown="0" showInputMessage="0" showErrorMessage="0" allowBlank="1" type="list">
      <formula1>'⚙️ Config'!$E$2:$E$9</formula1>
    </dataValidation>
    <dataValidation sqref="J12" showDropDown="0" showInputMessage="0" showErrorMessage="0" allowBlank="1" type="list">
      <formula1>'⚙️ Config'!$F$2:$F$5</formula1>
    </dataValidation>
    <dataValidation sqref="D13" showDropDown="0" showInputMessage="0" showErrorMessage="0" allowBlank="1" type="list">
      <formula1>'⚙️ Config'!$E$2:$E$9</formula1>
    </dataValidation>
    <dataValidation sqref="J13" showDropDown="0" showInputMessage="0" showErrorMessage="0" allowBlank="1" type="list">
      <formula1>'⚙️ Config'!$F$2:$F$5</formula1>
    </dataValidation>
    <dataValidation sqref="D14" showDropDown="0" showInputMessage="0" showErrorMessage="0" allowBlank="1" type="list">
      <formula1>'⚙️ Config'!$E$2:$E$9</formula1>
    </dataValidation>
    <dataValidation sqref="J14" showDropDown="0" showInputMessage="0" showErrorMessage="0" allowBlank="1" type="list">
      <formula1>'⚙️ Config'!$F$2:$F$5</formula1>
    </dataValidation>
    <dataValidation sqref="D15" showDropDown="0" showInputMessage="0" showErrorMessage="0" allowBlank="1" type="list">
      <formula1>'⚙️ Config'!$E$2:$E$9</formula1>
    </dataValidation>
    <dataValidation sqref="J15" showDropDown="0" showInputMessage="0" showErrorMessage="0" allowBlank="1" type="list">
      <formula1>'⚙️ Config'!$F$2:$F$5</formula1>
    </dataValidation>
    <dataValidation sqref="D16" showDropDown="0" showInputMessage="0" showErrorMessage="0" allowBlank="1" type="list">
      <formula1>'⚙️ Config'!$E$2:$E$9</formula1>
    </dataValidation>
    <dataValidation sqref="J16" showDropDown="0" showInputMessage="0" showErrorMessage="0" allowBlank="1" type="list">
      <formula1>'⚙️ Config'!$F$2:$F$5</formula1>
    </dataValidation>
    <dataValidation sqref="D17" showDropDown="0" showInputMessage="0" showErrorMessage="0" allowBlank="1" type="list">
      <formula1>'⚙️ Config'!$E$2:$E$9</formula1>
    </dataValidation>
    <dataValidation sqref="J17" showDropDown="0" showInputMessage="0" showErrorMessage="0" allowBlank="1" type="list">
      <formula1>'⚙️ Config'!$F$2:$F$5</formula1>
    </dataValidation>
    <dataValidation sqref="D18" showDropDown="0" showInputMessage="0" showErrorMessage="0" allowBlank="1" type="list">
      <formula1>'⚙️ Config'!$E$2:$E$9</formula1>
    </dataValidation>
    <dataValidation sqref="J18" showDropDown="0" showInputMessage="0" showErrorMessage="0" allowBlank="1" type="list">
      <formula1>'⚙️ Config'!$F$2:$F$5</formula1>
    </dataValidation>
    <dataValidation sqref="D19" showDropDown="0" showInputMessage="0" showErrorMessage="0" allowBlank="1" type="list">
      <formula1>'⚙️ Config'!$E$2:$E$9</formula1>
    </dataValidation>
    <dataValidation sqref="J19" showDropDown="0" showInputMessage="0" showErrorMessage="0" allowBlank="1" type="list">
      <formula1>'⚙️ Config'!$F$2:$F$5</formula1>
    </dataValidation>
    <dataValidation sqref="D20" showDropDown="0" showInputMessage="0" showErrorMessage="0" allowBlank="1" type="list">
      <formula1>'⚙️ Config'!$E$2:$E$9</formula1>
    </dataValidation>
    <dataValidation sqref="J20" showDropDown="0" showInputMessage="0" showErrorMessage="0" allowBlank="1" type="list">
      <formula1>'⚙️ Config'!$F$2:$F$5</formula1>
    </dataValidation>
    <dataValidation sqref="D21" showDropDown="0" showInputMessage="0" showErrorMessage="0" allowBlank="1" type="list">
      <formula1>'⚙️ Config'!$E$2:$E$9</formula1>
    </dataValidation>
    <dataValidation sqref="J21" showDropDown="0" showInputMessage="0" showErrorMessage="0" allowBlank="1" type="list">
      <formula1>'⚙️ Config'!$F$2:$F$5</formula1>
    </dataValidation>
    <dataValidation sqref="D22" showDropDown="0" showInputMessage="0" showErrorMessage="0" allowBlank="1" type="list">
      <formula1>'⚙️ Config'!$E$2:$E$9</formula1>
    </dataValidation>
    <dataValidation sqref="J22" showDropDown="0" showInputMessage="0" showErrorMessage="0" allowBlank="1" type="list">
      <formula1>'⚙️ Config'!$F$2:$F$5</formula1>
    </dataValidation>
    <dataValidation sqref="D23" showDropDown="0" showInputMessage="0" showErrorMessage="0" allowBlank="1" type="list">
      <formula1>'⚙️ Config'!$E$2:$E$9</formula1>
    </dataValidation>
    <dataValidation sqref="J23" showDropDown="0" showInputMessage="0" showErrorMessage="0" allowBlank="1" type="list">
      <formula1>'⚙️ Config'!$F$2:$F$5</formula1>
    </dataValidation>
    <dataValidation sqref="D24" showDropDown="0" showInputMessage="0" showErrorMessage="0" allowBlank="1" type="list">
      <formula1>'⚙️ Config'!$E$2:$E$9</formula1>
    </dataValidation>
    <dataValidation sqref="J24" showDropDown="0" showInputMessage="0" showErrorMessage="0" allowBlank="1" type="list">
      <formula1>'⚙️ Config'!$F$2:$F$5</formula1>
    </dataValidation>
    <dataValidation sqref="D25" showDropDown="0" showInputMessage="0" showErrorMessage="0" allowBlank="1" type="list">
      <formula1>'⚙️ Config'!$E$2:$E$9</formula1>
    </dataValidation>
    <dataValidation sqref="J25" showDropDown="0" showInputMessage="0" showErrorMessage="0" allowBlank="1" type="list">
      <formula1>'⚙️ Config'!$F$2:$F$5</formula1>
    </dataValidation>
    <dataValidation sqref="D26" showDropDown="0" showInputMessage="0" showErrorMessage="0" allowBlank="1" type="list">
      <formula1>'⚙️ Config'!$E$2:$E$9</formula1>
    </dataValidation>
    <dataValidation sqref="J26" showDropDown="0" showInputMessage="0" showErrorMessage="0" allowBlank="1" type="list">
      <formula1>'⚙️ Config'!$F$2:$F$5</formula1>
    </dataValidation>
    <dataValidation sqref="D27" showDropDown="0" showInputMessage="0" showErrorMessage="0" allowBlank="1" type="list">
      <formula1>'⚙️ Config'!$E$2:$E$9</formula1>
    </dataValidation>
    <dataValidation sqref="J27" showDropDown="0" showInputMessage="0" showErrorMessage="0" allowBlank="1" type="list">
      <formula1>'⚙️ Config'!$F$2:$F$5</formula1>
    </dataValidation>
    <dataValidation sqref="D28" showDropDown="0" showInputMessage="0" showErrorMessage="0" allowBlank="1" type="list">
      <formula1>'⚙️ Config'!$E$2:$E$9</formula1>
    </dataValidation>
    <dataValidation sqref="J28" showDropDown="0" showInputMessage="0" showErrorMessage="0" allowBlank="1" type="list">
      <formula1>'⚙️ Config'!$F$2:$F$5</formula1>
    </dataValidation>
    <dataValidation sqref="D29" showDropDown="0" showInputMessage="0" showErrorMessage="0" allowBlank="1" type="list">
      <formula1>'⚙️ Config'!$E$2:$E$9</formula1>
    </dataValidation>
    <dataValidation sqref="J29" showDropDown="0" showInputMessage="0" showErrorMessage="0" allowBlank="1" type="list">
      <formula1>'⚙️ Config'!$F$2:$F$5</formula1>
    </dataValidation>
    <dataValidation sqref="D30" showDropDown="0" showInputMessage="0" showErrorMessage="0" allowBlank="1" type="list">
      <formula1>'⚙️ Config'!$E$2:$E$9</formula1>
    </dataValidation>
    <dataValidation sqref="J30" showDropDown="0" showInputMessage="0" showErrorMessage="0" allowBlank="1" type="list">
      <formula1>'⚙️ Config'!$F$2:$F$5</formula1>
    </dataValidation>
    <dataValidation sqref="D31" showDropDown="0" showInputMessage="0" showErrorMessage="0" allowBlank="1" type="list">
      <formula1>'⚙️ Config'!$E$2:$E$9</formula1>
    </dataValidation>
    <dataValidation sqref="J31" showDropDown="0" showInputMessage="0" showErrorMessage="0" allowBlank="1" type="list">
      <formula1>'⚙️ Config'!$F$2:$F$5</formula1>
    </dataValidation>
    <dataValidation sqref="D32" showDropDown="0" showInputMessage="0" showErrorMessage="0" allowBlank="1" type="list">
      <formula1>'⚙️ Config'!$E$2:$E$9</formula1>
    </dataValidation>
    <dataValidation sqref="J32" showDropDown="0" showInputMessage="0" showErrorMessage="0" allowBlank="1" type="list">
      <formula1>'⚙️ Config'!$F$2:$F$5</formula1>
    </dataValidation>
    <dataValidation sqref="D33" showDropDown="0" showInputMessage="0" showErrorMessage="0" allowBlank="1" type="list">
      <formula1>'⚙️ Config'!$E$2:$E$9</formula1>
    </dataValidation>
    <dataValidation sqref="J33" showDropDown="0" showInputMessage="0" showErrorMessage="0" allowBlank="1" type="list">
      <formula1>'⚙️ Config'!$F$2:$F$5</formula1>
    </dataValidation>
    <dataValidation sqref="D34" showDropDown="0" showInputMessage="0" showErrorMessage="0" allowBlank="1" type="list">
      <formula1>'⚙️ Config'!$E$2:$E$9</formula1>
    </dataValidation>
    <dataValidation sqref="J34" showDropDown="0" showInputMessage="0" showErrorMessage="0" allowBlank="1" type="list">
      <formula1>'⚙️ Config'!$F$2:$F$5</formula1>
    </dataValidation>
    <dataValidation sqref="D35" showDropDown="0" showInputMessage="0" showErrorMessage="0" allowBlank="1" type="list">
      <formula1>'⚙️ Config'!$E$2:$E$9</formula1>
    </dataValidation>
    <dataValidation sqref="J35" showDropDown="0" showInputMessage="0" showErrorMessage="0" allowBlank="1" type="list">
      <formula1>'⚙️ Config'!$F$2:$F$5</formula1>
    </dataValidation>
    <dataValidation sqref="D36" showDropDown="0" showInputMessage="0" showErrorMessage="0" allowBlank="1" type="list">
      <formula1>'⚙️ Config'!$E$2:$E$9</formula1>
    </dataValidation>
    <dataValidation sqref="J36" showDropDown="0" showInputMessage="0" showErrorMessage="0" allowBlank="1" type="list">
      <formula1>'⚙️ Config'!$F$2:$F$5</formula1>
    </dataValidation>
    <dataValidation sqref="D37" showDropDown="0" showInputMessage="0" showErrorMessage="0" allowBlank="1" type="list">
      <formula1>'⚙️ Config'!$E$2:$E$9</formula1>
    </dataValidation>
    <dataValidation sqref="J37" showDropDown="0" showInputMessage="0" showErrorMessage="0" allowBlank="1" type="list">
      <formula1>'⚙️ Config'!$F$2:$F$5</formula1>
    </dataValidation>
    <dataValidation sqref="D38" showDropDown="0" showInputMessage="0" showErrorMessage="0" allowBlank="1" type="list">
      <formula1>'⚙️ Config'!$E$2:$E$9</formula1>
    </dataValidation>
    <dataValidation sqref="J38" showDropDown="0" showInputMessage="0" showErrorMessage="0" allowBlank="1" type="list">
      <formula1>'⚙️ Config'!$F$2:$F$5</formula1>
    </dataValidation>
    <dataValidation sqref="D39" showDropDown="0" showInputMessage="0" showErrorMessage="0" allowBlank="1" type="list">
      <formula1>'⚙️ Config'!$E$2:$E$9</formula1>
    </dataValidation>
    <dataValidation sqref="J39" showDropDown="0" showInputMessage="0" showErrorMessage="0" allowBlank="1" type="list">
      <formula1>'⚙️ Config'!$F$2:$F$5</formula1>
    </dataValidation>
    <dataValidation sqref="D40" showDropDown="0" showInputMessage="0" showErrorMessage="0" allowBlank="1" type="list">
      <formula1>'⚙️ Config'!$E$2:$E$9</formula1>
    </dataValidation>
    <dataValidation sqref="J40" showDropDown="0" showInputMessage="0" showErrorMessage="0" allowBlank="1" type="list">
      <formula1>'⚙️ Config'!$F$2:$F$5</formula1>
    </dataValidation>
    <dataValidation sqref="D41" showDropDown="0" showInputMessage="0" showErrorMessage="0" allowBlank="1" type="list">
      <formula1>'⚙️ Config'!$E$2:$E$9</formula1>
    </dataValidation>
    <dataValidation sqref="J41" showDropDown="0" showInputMessage="0" showErrorMessage="0" allowBlank="1" type="list">
      <formula1>'⚙️ Config'!$F$2:$F$5</formula1>
    </dataValidation>
    <dataValidation sqref="D42" showDropDown="0" showInputMessage="0" showErrorMessage="0" allowBlank="1" type="list">
      <formula1>'⚙️ Config'!$E$2:$E$9</formula1>
    </dataValidation>
    <dataValidation sqref="J42" showDropDown="0" showInputMessage="0" showErrorMessage="0" allowBlank="1" type="list">
      <formula1>'⚙️ Config'!$F$2:$F$5</formula1>
    </dataValidation>
    <dataValidation sqref="D43" showDropDown="0" showInputMessage="0" showErrorMessage="0" allowBlank="1" type="list">
      <formula1>'⚙️ Config'!$E$2:$E$9</formula1>
    </dataValidation>
    <dataValidation sqref="J43" showDropDown="0" showInputMessage="0" showErrorMessage="0" allowBlank="1" type="list">
      <formula1>'⚙️ Config'!$F$2:$F$5</formula1>
    </dataValidation>
    <dataValidation sqref="D44" showDropDown="0" showInputMessage="0" showErrorMessage="0" allowBlank="1" type="list">
      <formula1>'⚙️ Config'!$E$2:$E$9</formula1>
    </dataValidation>
    <dataValidation sqref="J44" showDropDown="0" showInputMessage="0" showErrorMessage="0" allowBlank="1" type="list">
      <formula1>'⚙️ Config'!$F$2:$F$5</formula1>
    </dataValidation>
    <dataValidation sqref="D45" showDropDown="0" showInputMessage="0" showErrorMessage="0" allowBlank="1" type="list">
      <formula1>'⚙️ Config'!$E$2:$E$9</formula1>
    </dataValidation>
    <dataValidation sqref="J45" showDropDown="0" showInputMessage="0" showErrorMessage="0" allowBlank="1" type="list">
      <formula1>'⚙️ Config'!$F$2:$F$5</formula1>
    </dataValidation>
    <dataValidation sqref="D46" showDropDown="0" showInputMessage="0" showErrorMessage="0" allowBlank="1" type="list">
      <formula1>'⚙️ Config'!$E$2:$E$9</formula1>
    </dataValidation>
    <dataValidation sqref="J46" showDropDown="0" showInputMessage="0" showErrorMessage="0" allowBlank="1" type="list">
      <formula1>'⚙️ Config'!$F$2:$F$5</formula1>
    </dataValidation>
    <dataValidation sqref="D47" showDropDown="0" showInputMessage="0" showErrorMessage="0" allowBlank="1" type="list">
      <formula1>'⚙️ Config'!$E$2:$E$9</formula1>
    </dataValidation>
    <dataValidation sqref="J47" showDropDown="0" showInputMessage="0" showErrorMessage="0" allowBlank="1" type="list">
      <formula1>'⚙️ Config'!$F$2:$F$5</formula1>
    </dataValidation>
    <dataValidation sqref="D48" showDropDown="0" showInputMessage="0" showErrorMessage="0" allowBlank="1" type="list">
      <formula1>'⚙️ Config'!$E$2:$E$9</formula1>
    </dataValidation>
    <dataValidation sqref="J48" showDropDown="0" showInputMessage="0" showErrorMessage="0" allowBlank="1" type="list">
      <formula1>'⚙️ Config'!$F$2:$F$5</formula1>
    </dataValidation>
    <dataValidation sqref="D49" showDropDown="0" showInputMessage="0" showErrorMessage="0" allowBlank="1" type="list">
      <formula1>'⚙️ Config'!$E$2:$E$9</formula1>
    </dataValidation>
    <dataValidation sqref="J49" showDropDown="0" showInputMessage="0" showErrorMessage="0" allowBlank="1" type="list">
      <formula1>'⚙️ Config'!$F$2:$F$5</formula1>
    </dataValidation>
    <dataValidation sqref="D50" showDropDown="0" showInputMessage="0" showErrorMessage="0" allowBlank="1" type="list">
      <formula1>'⚙️ Config'!$E$2:$E$9</formula1>
    </dataValidation>
    <dataValidation sqref="J50" showDropDown="0" showInputMessage="0" showErrorMessage="0" allowBlank="1" type="list">
      <formula1>'⚙️ Config'!$F$2:$F$5</formula1>
    </dataValidation>
    <dataValidation sqref="D51" showDropDown="0" showInputMessage="0" showErrorMessage="0" allowBlank="1" type="list">
      <formula1>'⚙️ Config'!$E$2:$E$9</formula1>
    </dataValidation>
    <dataValidation sqref="J51" showDropDown="0" showInputMessage="0" showErrorMessage="0" allowBlank="1" type="list">
      <formula1>'⚙️ Config'!$F$2:$F$5</formula1>
    </dataValidation>
    <dataValidation sqref="D52" showDropDown="0" showInputMessage="0" showErrorMessage="0" allowBlank="1" type="list">
      <formula1>'⚙️ Config'!$E$2:$E$9</formula1>
    </dataValidation>
    <dataValidation sqref="J52" showDropDown="0" showInputMessage="0" showErrorMessage="0" allowBlank="1" type="list">
      <formula1>'⚙️ Config'!$F$2:$F$5</formula1>
    </dataValidation>
    <dataValidation sqref="D53" showDropDown="0" showInputMessage="0" showErrorMessage="0" allowBlank="1" type="list">
      <formula1>'⚙️ Config'!$E$2:$E$9</formula1>
    </dataValidation>
    <dataValidation sqref="J53" showDropDown="0" showInputMessage="0" showErrorMessage="0" allowBlank="1" type="list">
      <formula1>'⚙️ Config'!$F$2:$F$5</formula1>
    </dataValidation>
    <dataValidation sqref="D54" showDropDown="0" showInputMessage="0" showErrorMessage="0" allowBlank="1" type="list">
      <formula1>'⚙️ Config'!$E$2:$E$9</formula1>
    </dataValidation>
    <dataValidation sqref="J54" showDropDown="0" showInputMessage="0" showErrorMessage="0" allowBlank="1" type="list">
      <formula1>'⚙️ Config'!$F$2:$F$5</formula1>
    </dataValidation>
    <dataValidation sqref="D55" showDropDown="0" showInputMessage="0" showErrorMessage="0" allowBlank="1" type="list">
      <formula1>'⚙️ Config'!$E$2:$E$9</formula1>
    </dataValidation>
    <dataValidation sqref="J55" showDropDown="0" showInputMessage="0" showErrorMessage="0" allowBlank="1" type="list">
      <formula1>'⚙️ Config'!$F$2:$F$5</formula1>
    </dataValidation>
    <dataValidation sqref="D56" showDropDown="0" showInputMessage="0" showErrorMessage="0" allowBlank="1" type="list">
      <formula1>'⚙️ Config'!$E$2:$E$9</formula1>
    </dataValidation>
    <dataValidation sqref="J56" showDropDown="0" showInputMessage="0" showErrorMessage="0" allowBlank="1" type="list">
      <formula1>'⚙️ Config'!$F$2:$F$5</formula1>
    </dataValidation>
    <dataValidation sqref="D57" showDropDown="0" showInputMessage="0" showErrorMessage="0" allowBlank="1" type="list">
      <formula1>'⚙️ Config'!$E$2:$E$9</formula1>
    </dataValidation>
    <dataValidation sqref="J57" showDropDown="0" showInputMessage="0" showErrorMessage="0" allowBlank="1" type="list">
      <formula1>'⚙️ Config'!$F$2:$F$5</formula1>
    </dataValidation>
    <dataValidation sqref="D58" showDropDown="0" showInputMessage="0" showErrorMessage="0" allowBlank="1" type="list">
      <formula1>'⚙️ Config'!$E$2:$E$9</formula1>
    </dataValidation>
    <dataValidation sqref="J58" showDropDown="0" showInputMessage="0" showErrorMessage="0" allowBlank="1" type="list">
      <formula1>'⚙️ Config'!$F$2:$F$5</formula1>
    </dataValidation>
    <dataValidation sqref="D59" showDropDown="0" showInputMessage="0" showErrorMessage="0" allowBlank="1" type="list">
      <formula1>'⚙️ Config'!$E$2:$E$9</formula1>
    </dataValidation>
    <dataValidation sqref="J59" showDropDown="0" showInputMessage="0" showErrorMessage="0" allowBlank="1" type="list">
      <formula1>'⚙️ Config'!$F$2:$F$5</formula1>
    </dataValidation>
    <dataValidation sqref="D60" showDropDown="0" showInputMessage="0" showErrorMessage="0" allowBlank="1" type="list">
      <formula1>'⚙️ Config'!$E$2:$E$9</formula1>
    </dataValidation>
    <dataValidation sqref="J60" showDropDown="0" showInputMessage="0" showErrorMessage="0" allowBlank="1" type="list">
      <formula1>'⚙️ Config'!$F$2:$F$5</formula1>
    </dataValidation>
    <dataValidation sqref="D61" showDropDown="0" showInputMessage="0" showErrorMessage="0" allowBlank="1" type="list">
      <formula1>'⚙️ Config'!$E$2:$E$9</formula1>
    </dataValidation>
    <dataValidation sqref="J61" showDropDown="0" showInputMessage="0" showErrorMessage="0" allowBlank="1" type="list">
      <formula1>'⚙️ Config'!$F$2:$F$5</formula1>
    </dataValidation>
    <dataValidation sqref="D62" showDropDown="0" showInputMessage="0" showErrorMessage="0" allowBlank="1" type="list">
      <formula1>'⚙️ Config'!$E$2:$E$9</formula1>
    </dataValidation>
    <dataValidation sqref="J62" showDropDown="0" showInputMessage="0" showErrorMessage="0" allowBlank="1" type="list">
      <formula1>'⚙️ Config'!$F$2:$F$5</formula1>
    </dataValidation>
    <dataValidation sqref="D63" showDropDown="0" showInputMessage="0" showErrorMessage="0" allowBlank="1" type="list">
      <formula1>'⚙️ Config'!$E$2:$E$9</formula1>
    </dataValidation>
    <dataValidation sqref="J63" showDropDown="0" showInputMessage="0" showErrorMessage="0" allowBlank="1" type="list">
      <formula1>'⚙️ Config'!$F$2:$F$5</formula1>
    </dataValidation>
    <dataValidation sqref="D64" showDropDown="0" showInputMessage="0" showErrorMessage="0" allowBlank="1" type="list">
      <formula1>'⚙️ Config'!$E$2:$E$9</formula1>
    </dataValidation>
    <dataValidation sqref="J64" showDropDown="0" showInputMessage="0" showErrorMessage="0" allowBlank="1" type="list">
      <formula1>'⚙️ Config'!$F$2:$F$5</formula1>
    </dataValidation>
    <dataValidation sqref="D65" showDropDown="0" showInputMessage="0" showErrorMessage="0" allowBlank="1" type="list">
      <formula1>'⚙️ Config'!$E$2:$E$9</formula1>
    </dataValidation>
    <dataValidation sqref="J65" showDropDown="0" showInputMessage="0" showErrorMessage="0" allowBlank="1" type="list">
      <formula1>'⚙️ Config'!$F$2:$F$5</formula1>
    </dataValidation>
    <dataValidation sqref="D66" showDropDown="0" showInputMessage="0" showErrorMessage="0" allowBlank="1" type="list">
      <formula1>'⚙️ Config'!$E$2:$E$9</formula1>
    </dataValidation>
    <dataValidation sqref="J66" showDropDown="0" showInputMessage="0" showErrorMessage="0" allowBlank="1" type="list">
      <formula1>'⚙️ Config'!$F$2:$F$5</formula1>
    </dataValidation>
    <dataValidation sqref="D67" showDropDown="0" showInputMessage="0" showErrorMessage="0" allowBlank="1" type="list">
      <formula1>'⚙️ Config'!$E$2:$E$9</formula1>
    </dataValidation>
    <dataValidation sqref="J67" showDropDown="0" showInputMessage="0" showErrorMessage="0" allowBlank="1" type="list">
      <formula1>'⚙️ Config'!$F$2:$F$5</formula1>
    </dataValidation>
    <dataValidation sqref="D68" showDropDown="0" showInputMessage="0" showErrorMessage="0" allowBlank="1" type="list">
      <formula1>'⚙️ Config'!$E$2:$E$9</formula1>
    </dataValidation>
    <dataValidation sqref="J68" showDropDown="0" showInputMessage="0" showErrorMessage="0" allowBlank="1" type="list">
      <formula1>'⚙️ Config'!$F$2:$F$5</formula1>
    </dataValidation>
    <dataValidation sqref="D69" showDropDown="0" showInputMessage="0" showErrorMessage="0" allowBlank="1" type="list">
      <formula1>'⚙️ Config'!$E$2:$E$9</formula1>
    </dataValidation>
    <dataValidation sqref="J69" showDropDown="0" showInputMessage="0" showErrorMessage="0" allowBlank="1" type="list">
      <formula1>'⚙️ Config'!$F$2:$F$5</formula1>
    </dataValidation>
    <dataValidation sqref="D70" showDropDown="0" showInputMessage="0" showErrorMessage="0" allowBlank="1" type="list">
      <formula1>'⚙️ Config'!$E$2:$E$9</formula1>
    </dataValidation>
    <dataValidation sqref="J70" showDropDown="0" showInputMessage="0" showErrorMessage="0" allowBlank="1" type="list">
      <formula1>'⚙️ Config'!$F$2:$F$5</formula1>
    </dataValidation>
    <dataValidation sqref="D71" showDropDown="0" showInputMessage="0" showErrorMessage="0" allowBlank="1" type="list">
      <formula1>'⚙️ Config'!$E$2:$E$9</formula1>
    </dataValidation>
    <dataValidation sqref="J71" showDropDown="0" showInputMessage="0" showErrorMessage="0" allowBlank="1" type="list">
      <formula1>'⚙️ Config'!$F$2:$F$5</formula1>
    </dataValidation>
    <dataValidation sqref="D72" showDropDown="0" showInputMessage="0" showErrorMessage="0" allowBlank="1" type="list">
      <formula1>'⚙️ Config'!$E$2:$E$9</formula1>
    </dataValidation>
    <dataValidation sqref="J72" showDropDown="0" showInputMessage="0" showErrorMessage="0" allowBlank="1" type="list">
      <formula1>'⚙️ Config'!$F$2:$F$5</formula1>
    </dataValidation>
    <dataValidation sqref="D73" showDropDown="0" showInputMessage="0" showErrorMessage="0" allowBlank="1" type="list">
      <formula1>'⚙️ Config'!$E$2:$E$9</formula1>
    </dataValidation>
    <dataValidation sqref="J73" showDropDown="0" showInputMessage="0" showErrorMessage="0" allowBlank="1" type="list">
      <formula1>'⚙️ Config'!$F$2:$F$5</formula1>
    </dataValidation>
    <dataValidation sqref="D74" showDropDown="0" showInputMessage="0" showErrorMessage="0" allowBlank="1" type="list">
      <formula1>'⚙️ Config'!$E$2:$E$9</formula1>
    </dataValidation>
    <dataValidation sqref="J74" showDropDown="0" showInputMessage="0" showErrorMessage="0" allowBlank="1" type="list">
      <formula1>'⚙️ Config'!$F$2:$F$5</formula1>
    </dataValidation>
    <dataValidation sqref="D75" showDropDown="0" showInputMessage="0" showErrorMessage="0" allowBlank="1" type="list">
      <formula1>'⚙️ Config'!$E$2:$E$9</formula1>
    </dataValidation>
    <dataValidation sqref="J75" showDropDown="0" showInputMessage="0" showErrorMessage="0" allowBlank="1" type="list">
      <formula1>'⚙️ Config'!$F$2:$F$5</formula1>
    </dataValidation>
    <dataValidation sqref="D76" showDropDown="0" showInputMessage="0" showErrorMessage="0" allowBlank="1" type="list">
      <formula1>'⚙️ Config'!$E$2:$E$9</formula1>
    </dataValidation>
    <dataValidation sqref="J76" showDropDown="0" showInputMessage="0" showErrorMessage="0" allowBlank="1" type="list">
      <formula1>'⚙️ Config'!$F$2:$F$5</formula1>
    </dataValidation>
    <dataValidation sqref="D77" showDropDown="0" showInputMessage="0" showErrorMessage="0" allowBlank="1" type="list">
      <formula1>'⚙️ Config'!$E$2:$E$9</formula1>
    </dataValidation>
    <dataValidation sqref="J77" showDropDown="0" showInputMessage="0" showErrorMessage="0" allowBlank="1" type="list">
      <formula1>'⚙️ Config'!$F$2:$F$5</formula1>
    </dataValidation>
    <dataValidation sqref="D78" showDropDown="0" showInputMessage="0" showErrorMessage="0" allowBlank="1" type="list">
      <formula1>'⚙️ Config'!$E$2:$E$9</formula1>
    </dataValidation>
    <dataValidation sqref="J78" showDropDown="0" showInputMessage="0" showErrorMessage="0" allowBlank="1" type="list">
      <formula1>'⚙️ Config'!$F$2:$F$5</formula1>
    </dataValidation>
    <dataValidation sqref="D79" showDropDown="0" showInputMessage="0" showErrorMessage="0" allowBlank="1" type="list">
      <formula1>'⚙️ Config'!$E$2:$E$9</formula1>
    </dataValidation>
    <dataValidation sqref="J79" showDropDown="0" showInputMessage="0" showErrorMessage="0" allowBlank="1" type="list">
      <formula1>'⚙️ Config'!$F$2:$F$5</formula1>
    </dataValidation>
    <dataValidation sqref="D80" showDropDown="0" showInputMessage="0" showErrorMessage="0" allowBlank="1" type="list">
      <formula1>'⚙️ Config'!$E$2:$E$9</formula1>
    </dataValidation>
    <dataValidation sqref="J80" showDropDown="0" showInputMessage="0" showErrorMessage="0" allowBlank="1" type="list">
      <formula1>'⚙️ Config'!$F$2:$F$5</formula1>
    </dataValidation>
    <dataValidation sqref="D81" showDropDown="0" showInputMessage="0" showErrorMessage="0" allowBlank="1" type="list">
      <formula1>'⚙️ Config'!$E$2:$E$9</formula1>
    </dataValidation>
    <dataValidation sqref="J81" showDropDown="0" showInputMessage="0" showErrorMessage="0" allowBlank="1" type="list">
      <formula1>'⚙️ Config'!$F$2:$F$5</formula1>
    </dataValidation>
    <dataValidation sqref="D82" showDropDown="0" showInputMessage="0" showErrorMessage="0" allowBlank="1" type="list">
      <formula1>'⚙️ Config'!$E$2:$E$9</formula1>
    </dataValidation>
    <dataValidation sqref="J82" showDropDown="0" showInputMessage="0" showErrorMessage="0" allowBlank="1" type="list">
      <formula1>'⚙️ Config'!$F$2:$F$5</formula1>
    </dataValidation>
    <dataValidation sqref="D83" showDropDown="0" showInputMessage="0" showErrorMessage="0" allowBlank="1" type="list">
      <formula1>'⚙️ Config'!$E$2:$E$9</formula1>
    </dataValidation>
    <dataValidation sqref="J83" showDropDown="0" showInputMessage="0" showErrorMessage="0" allowBlank="1" type="list">
      <formula1>'⚙️ Config'!$F$2:$F$5</formula1>
    </dataValidation>
    <dataValidation sqref="D84" showDropDown="0" showInputMessage="0" showErrorMessage="0" allowBlank="1" type="list">
      <formula1>'⚙️ Config'!$E$2:$E$9</formula1>
    </dataValidation>
    <dataValidation sqref="J84" showDropDown="0" showInputMessage="0" showErrorMessage="0" allowBlank="1" type="list">
      <formula1>'⚙️ Config'!$F$2:$F$5</formula1>
    </dataValidation>
    <dataValidation sqref="D85" showDropDown="0" showInputMessage="0" showErrorMessage="0" allowBlank="1" type="list">
      <formula1>'⚙️ Config'!$E$2:$E$9</formula1>
    </dataValidation>
    <dataValidation sqref="J85" showDropDown="0" showInputMessage="0" showErrorMessage="0" allowBlank="1" type="list">
      <formula1>'⚙️ Config'!$F$2:$F$5</formula1>
    </dataValidation>
    <dataValidation sqref="D86" showDropDown="0" showInputMessage="0" showErrorMessage="0" allowBlank="1" type="list">
      <formula1>'⚙️ Config'!$E$2:$E$9</formula1>
    </dataValidation>
    <dataValidation sqref="J86" showDropDown="0" showInputMessage="0" showErrorMessage="0" allowBlank="1" type="list">
      <formula1>'⚙️ Config'!$F$2:$F$5</formula1>
    </dataValidation>
    <dataValidation sqref="D87" showDropDown="0" showInputMessage="0" showErrorMessage="0" allowBlank="1" type="list">
      <formula1>'⚙️ Config'!$E$2:$E$9</formula1>
    </dataValidation>
    <dataValidation sqref="J87" showDropDown="0" showInputMessage="0" showErrorMessage="0" allowBlank="1" type="list">
      <formula1>'⚙️ Config'!$F$2:$F$5</formula1>
    </dataValidation>
    <dataValidation sqref="D88" showDropDown="0" showInputMessage="0" showErrorMessage="0" allowBlank="1" type="list">
      <formula1>'⚙️ Config'!$E$2:$E$9</formula1>
    </dataValidation>
    <dataValidation sqref="J88" showDropDown="0" showInputMessage="0" showErrorMessage="0" allowBlank="1" type="list">
      <formula1>'⚙️ Config'!$F$2:$F$5</formula1>
    </dataValidation>
    <dataValidation sqref="D89" showDropDown="0" showInputMessage="0" showErrorMessage="0" allowBlank="1" type="list">
      <formula1>'⚙️ Config'!$E$2:$E$9</formula1>
    </dataValidation>
    <dataValidation sqref="J89" showDropDown="0" showInputMessage="0" showErrorMessage="0" allowBlank="1" type="list">
      <formula1>'⚙️ Config'!$F$2:$F$5</formula1>
    </dataValidation>
    <dataValidation sqref="D90" showDropDown="0" showInputMessage="0" showErrorMessage="0" allowBlank="1" type="list">
      <formula1>'⚙️ Config'!$E$2:$E$9</formula1>
    </dataValidation>
    <dataValidation sqref="J90" showDropDown="0" showInputMessage="0" showErrorMessage="0" allowBlank="1" type="list">
      <formula1>'⚙️ Config'!$F$2:$F$5</formula1>
    </dataValidation>
    <dataValidation sqref="D91" showDropDown="0" showInputMessage="0" showErrorMessage="0" allowBlank="1" type="list">
      <formula1>'⚙️ Config'!$E$2:$E$9</formula1>
    </dataValidation>
    <dataValidation sqref="J91" showDropDown="0" showInputMessage="0" showErrorMessage="0" allowBlank="1" type="list">
      <formula1>'⚙️ Config'!$F$2:$F$5</formula1>
    </dataValidation>
    <dataValidation sqref="D92" showDropDown="0" showInputMessage="0" showErrorMessage="0" allowBlank="1" type="list">
      <formula1>'⚙️ Config'!$E$2:$E$9</formula1>
    </dataValidation>
    <dataValidation sqref="J92" showDropDown="0" showInputMessage="0" showErrorMessage="0" allowBlank="1" type="list">
      <formula1>'⚙️ Config'!$F$2:$F$5</formula1>
    </dataValidation>
    <dataValidation sqref="D93" showDropDown="0" showInputMessage="0" showErrorMessage="0" allowBlank="1" type="list">
      <formula1>'⚙️ Config'!$E$2:$E$9</formula1>
    </dataValidation>
    <dataValidation sqref="J93" showDropDown="0" showInputMessage="0" showErrorMessage="0" allowBlank="1" type="list">
      <formula1>'⚙️ Config'!$F$2:$F$5</formula1>
    </dataValidation>
    <dataValidation sqref="D94" showDropDown="0" showInputMessage="0" showErrorMessage="0" allowBlank="1" type="list">
      <formula1>'⚙️ Config'!$E$2:$E$9</formula1>
    </dataValidation>
    <dataValidation sqref="J94" showDropDown="0" showInputMessage="0" showErrorMessage="0" allowBlank="1" type="list">
      <formula1>'⚙️ Config'!$F$2:$F$5</formula1>
    </dataValidation>
    <dataValidation sqref="D95" showDropDown="0" showInputMessage="0" showErrorMessage="0" allowBlank="1" type="list">
      <formula1>'⚙️ Config'!$E$2:$E$9</formula1>
    </dataValidation>
    <dataValidation sqref="J95" showDropDown="0" showInputMessage="0" showErrorMessage="0" allowBlank="1" type="list">
      <formula1>'⚙️ Config'!$F$2:$F$5</formula1>
    </dataValidation>
    <dataValidation sqref="D96" showDropDown="0" showInputMessage="0" showErrorMessage="0" allowBlank="1" type="list">
      <formula1>'⚙️ Config'!$E$2:$E$9</formula1>
    </dataValidation>
    <dataValidation sqref="J96" showDropDown="0" showInputMessage="0" showErrorMessage="0" allowBlank="1" type="list">
      <formula1>'⚙️ Config'!$F$2:$F$5</formula1>
    </dataValidation>
    <dataValidation sqref="D97" showDropDown="0" showInputMessage="0" showErrorMessage="0" allowBlank="1" type="list">
      <formula1>'⚙️ Config'!$E$2:$E$9</formula1>
    </dataValidation>
    <dataValidation sqref="J97" showDropDown="0" showInputMessage="0" showErrorMessage="0" allowBlank="1" type="list">
      <formula1>'⚙️ Config'!$F$2:$F$5</formula1>
    </dataValidation>
    <dataValidation sqref="D98" showDropDown="0" showInputMessage="0" showErrorMessage="0" allowBlank="1" type="list">
      <formula1>'⚙️ Config'!$E$2:$E$9</formula1>
    </dataValidation>
    <dataValidation sqref="J98" showDropDown="0" showInputMessage="0" showErrorMessage="0" allowBlank="1" type="list">
      <formula1>'⚙️ Config'!$F$2:$F$5</formula1>
    </dataValidation>
    <dataValidation sqref="D99" showDropDown="0" showInputMessage="0" showErrorMessage="0" allowBlank="1" type="list">
      <formula1>'⚙️ Config'!$E$2:$E$9</formula1>
    </dataValidation>
    <dataValidation sqref="J99" showDropDown="0" showInputMessage="0" showErrorMessage="0" allowBlank="1" type="list">
      <formula1>'⚙️ Config'!$F$2:$F$5</formula1>
    </dataValidation>
    <dataValidation sqref="D100" showDropDown="0" showInputMessage="0" showErrorMessage="0" allowBlank="1" type="list">
      <formula1>'⚙️ Config'!$E$2:$E$9</formula1>
    </dataValidation>
    <dataValidation sqref="J100" showDropDown="0" showInputMessage="0" showErrorMessage="0" allowBlank="1" type="list">
      <formula1>'⚙️ Config'!$F$2:$F$5</formula1>
    </dataValidation>
    <dataValidation sqref="D101" showDropDown="0" showInputMessage="0" showErrorMessage="0" allowBlank="1" type="list">
      <formula1>'⚙️ Config'!$E$2:$E$9</formula1>
    </dataValidation>
    <dataValidation sqref="J101" showDropDown="0" showInputMessage="0" showErrorMessage="0" allowBlank="1" type="list">
      <formula1>'⚙️ Config'!$F$2:$F$5</formula1>
    </dataValidation>
    <dataValidation sqref="D102" showDropDown="0" showInputMessage="0" showErrorMessage="0" allowBlank="1" type="list">
      <formula1>'⚙️ Config'!$E$2:$E$9</formula1>
    </dataValidation>
    <dataValidation sqref="J102" showDropDown="0" showInputMessage="0" showErrorMessage="0" allowBlank="1" type="list">
      <formula1>'⚙️ Config'!$F$2:$F$5</formula1>
    </dataValidation>
    <dataValidation sqref="D103" showDropDown="0" showInputMessage="0" showErrorMessage="0" allowBlank="1" type="list">
      <formula1>'⚙️ Config'!$E$2:$E$9</formula1>
    </dataValidation>
    <dataValidation sqref="J103" showDropDown="0" showInputMessage="0" showErrorMessage="0" allowBlank="1" type="list">
      <formula1>'⚙️ Config'!$F$2:$F$5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2" customWidth="1" min="3" max="3"/>
    <col width="15" customWidth="1" min="4" max="4"/>
    <col width="13" customWidth="1" min="5" max="5"/>
    <col width="13" customWidth="1" min="6" max="6"/>
    <col width="13" customWidth="1" min="7" max="7"/>
    <col width="15" customWidth="1" min="8" max="8"/>
    <col width="32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22" customWidth="1" min="16" max="16"/>
  </cols>
  <sheetData>
    <row r="1" ht="36" customHeight="1">
      <c r="A1" s="14" t="inlineStr">
        <is>
          <t>📚  SNS'S STUDY PLAN — 1-4-7 Spaced Repetition Log</t>
        </is>
      </c>
    </row>
    <row r="2" ht="16" customHeight="1">
      <c r="A2" s="15" t="inlineStr">
        <is>
          <t>🔵 Initiated  🟡 In Progress  🟢 Completed  🔴 Day-4 Due  🟠 Day-7 Due  ✅ Mastered  | Sorts: Active → by Path then Start Date | Completed → bottom | Click date cells (E/F/G) to use date picker</t>
        </is>
      </c>
    </row>
    <row r="3" ht="38" customHeight="1">
      <c r="A3" s="16" t="inlineStr">
        <is>
          <t>#</t>
        </is>
      </c>
      <c r="B3" s="16" t="inlineStr">
        <is>
          <t>Learning
Path</t>
        </is>
      </c>
      <c r="C3" s="16" t="inlineStr">
        <is>
          <t>Topic / Task</t>
        </is>
      </c>
      <c r="D3" s="16" t="inlineStr">
        <is>
          <t>Subject /
Tag</t>
        </is>
      </c>
      <c r="E3" s="16" t="inlineStr">
        <is>
          <t>Start
Date</t>
        </is>
      </c>
      <c r="F3" s="16" t="inlineStr">
        <is>
          <t>Initiated
Date</t>
        </is>
      </c>
      <c r="G3" s="16" t="inlineStr">
        <is>
          <t>Completed
Date</t>
        </is>
      </c>
      <c r="H3" s="16" t="inlineStr">
        <is>
          <t>Status</t>
        </is>
      </c>
      <c r="I3" s="16" t="inlineStr">
        <is>
          <t>Resource Link / Notes</t>
        </is>
      </c>
      <c r="J3" s="16" t="inlineStr">
        <is>
          <t>Resource
Type</t>
        </is>
      </c>
      <c r="K3" s="16" t="inlineStr">
        <is>
          <t>Day-4
Date</t>
        </is>
      </c>
      <c r="L3" s="16" t="inlineStr">
        <is>
          <t>Day-4
Done? ✓</t>
        </is>
      </c>
      <c r="M3" s="16" t="inlineStr">
        <is>
          <t>Day-7
Date</t>
        </is>
      </c>
      <c r="N3" s="16" t="inlineStr">
        <is>
          <t>Day-7
Done? ✓</t>
        </is>
      </c>
      <c r="O3" s="16" t="inlineStr">
        <is>
          <t>Confidence
(1–5 ⭐)</t>
        </is>
      </c>
      <c r="P3" s="16" t="inlineStr">
        <is>
          <t>Remarks</t>
        </is>
      </c>
    </row>
    <row r="4" ht="24" customHeight="1">
      <c r="A4" s="4" t="n">
        <v>1</v>
      </c>
      <c r="B4" s="4" t="n"/>
      <c r="C4" s="5" t="n"/>
      <c r="D4" s="5" t="n"/>
      <c r="E4" s="7" t="n"/>
      <c r="F4" s="7" t="n"/>
      <c r="G4" s="7" t="n"/>
      <c r="H4" s="4" t="n"/>
      <c r="I4" s="5" t="n"/>
      <c r="J4" s="4" t="n"/>
      <c r="K4" s="7">
        <f>IF(G4&lt;&gt;"",G4+3,"")</f>
        <v/>
      </c>
      <c r="L4" s="4" t="n"/>
      <c r="M4" s="7">
        <f>IF(G4&lt;&gt;"",G4+6,"")</f>
        <v/>
      </c>
      <c r="N4" s="4" t="n"/>
      <c r="O4" s="4" t="n"/>
      <c r="P4" s="5" t="n"/>
    </row>
    <row r="5" ht="24" customHeight="1">
      <c r="A5" s="17" t="n">
        <v>2</v>
      </c>
      <c r="B5" s="17" t="n"/>
      <c r="C5" s="18" t="n"/>
      <c r="D5" s="18" t="n"/>
      <c r="E5" s="19" t="n"/>
      <c r="F5" s="19" t="n"/>
      <c r="G5" s="19" t="n"/>
      <c r="H5" s="17" t="n"/>
      <c r="I5" s="18" t="n"/>
      <c r="J5" s="17" t="n"/>
      <c r="K5" s="19">
        <f>IF(G5&lt;&gt;"",G5+3,"")</f>
        <v/>
      </c>
      <c r="L5" s="17" t="n"/>
      <c r="M5" s="19">
        <f>IF(G5&lt;&gt;"",G5+6,"")</f>
        <v/>
      </c>
      <c r="N5" s="17" t="n"/>
      <c r="O5" s="17" t="n"/>
      <c r="P5" s="18" t="n"/>
    </row>
    <row r="6" ht="24" customHeight="1">
      <c r="A6" s="4" t="n">
        <v>3</v>
      </c>
      <c r="B6" s="4" t="n"/>
      <c r="C6" s="5" t="n"/>
      <c r="D6" s="5" t="n"/>
      <c r="E6" s="7" t="n"/>
      <c r="F6" s="7" t="n"/>
      <c r="G6" s="7" t="n"/>
      <c r="H6" s="4" t="n"/>
      <c r="I6" s="5" t="n"/>
      <c r="J6" s="4" t="n"/>
      <c r="K6" s="7">
        <f>IF(G6&lt;&gt;"",G6+3,"")</f>
        <v/>
      </c>
      <c r="L6" s="4" t="n"/>
      <c r="M6" s="7">
        <f>IF(G6&lt;&gt;"",G6+6,"")</f>
        <v/>
      </c>
      <c r="N6" s="4" t="n"/>
      <c r="O6" s="4" t="n"/>
      <c r="P6" s="5" t="n"/>
    </row>
    <row r="7" ht="24" customHeight="1">
      <c r="A7" s="17" t="n">
        <v>4</v>
      </c>
      <c r="B7" s="17" t="n"/>
      <c r="C7" s="18" t="n"/>
      <c r="D7" s="18" t="n"/>
      <c r="E7" s="19" t="n"/>
      <c r="F7" s="19" t="n"/>
      <c r="G7" s="19" t="n"/>
      <c r="H7" s="17" t="n"/>
      <c r="I7" s="18" t="n"/>
      <c r="J7" s="17" t="n"/>
      <c r="K7" s="19">
        <f>IF(G7&lt;&gt;"",G7+3,"")</f>
        <v/>
      </c>
      <c r="L7" s="17" t="n"/>
      <c r="M7" s="19">
        <f>IF(G7&lt;&gt;"",G7+6,"")</f>
        <v/>
      </c>
      <c r="N7" s="17" t="n"/>
      <c r="O7" s="17" t="n"/>
      <c r="P7" s="18" t="n"/>
    </row>
    <row r="8" ht="24" customHeight="1">
      <c r="A8" s="4" t="n">
        <v>5</v>
      </c>
      <c r="B8" s="4" t="n"/>
      <c r="C8" s="5" t="n"/>
      <c r="D8" s="5" t="n"/>
      <c r="E8" s="7" t="n"/>
      <c r="F8" s="7" t="n"/>
      <c r="G8" s="7" t="n"/>
      <c r="H8" s="4" t="n"/>
      <c r="I8" s="5" t="n"/>
      <c r="J8" s="4" t="n"/>
      <c r="K8" s="7">
        <f>IF(G8&lt;&gt;"",G8+3,"")</f>
        <v/>
      </c>
      <c r="L8" s="4" t="n"/>
      <c r="M8" s="7">
        <f>IF(G8&lt;&gt;"",G8+6,"")</f>
        <v/>
      </c>
      <c r="N8" s="4" t="n"/>
      <c r="O8" s="4" t="n"/>
      <c r="P8" s="5" t="n"/>
    </row>
    <row r="9" ht="24" customHeight="1">
      <c r="A9" s="17" t="n">
        <v>6</v>
      </c>
      <c r="B9" s="17" t="n"/>
      <c r="C9" s="18" t="n"/>
      <c r="D9" s="18" t="n"/>
      <c r="E9" s="19" t="n"/>
      <c r="F9" s="19" t="n"/>
      <c r="G9" s="19" t="n"/>
      <c r="H9" s="17" t="n"/>
      <c r="I9" s="18" t="n"/>
      <c r="J9" s="17" t="n"/>
      <c r="K9" s="19">
        <f>IF(G9&lt;&gt;"",G9+3,"")</f>
        <v/>
      </c>
      <c r="L9" s="17" t="n"/>
      <c r="M9" s="19">
        <f>IF(G9&lt;&gt;"",G9+6,"")</f>
        <v/>
      </c>
      <c r="N9" s="17" t="n"/>
      <c r="O9" s="17" t="n"/>
      <c r="P9" s="18" t="n"/>
    </row>
    <row r="10" ht="24" customHeight="1">
      <c r="A10" s="4" t="n">
        <v>7</v>
      </c>
      <c r="B10" s="4" t="n"/>
      <c r="C10" s="5" t="n"/>
      <c r="D10" s="5" t="n"/>
      <c r="E10" s="7" t="n"/>
      <c r="F10" s="7" t="n"/>
      <c r="G10" s="7" t="n"/>
      <c r="H10" s="4" t="n"/>
      <c r="I10" s="5" t="n"/>
      <c r="J10" s="4" t="n"/>
      <c r="K10" s="7">
        <f>IF(G10&lt;&gt;"",G10+3,"")</f>
        <v/>
      </c>
      <c r="L10" s="4" t="n"/>
      <c r="M10" s="7">
        <f>IF(G10&lt;&gt;"",G10+6,"")</f>
        <v/>
      </c>
      <c r="N10" s="4" t="n"/>
      <c r="O10" s="4" t="n"/>
      <c r="P10" s="5" t="n"/>
    </row>
    <row r="11" ht="24" customHeight="1">
      <c r="A11" s="17" t="n">
        <v>8</v>
      </c>
      <c r="B11" s="17" t="n"/>
      <c r="C11" s="18" t="n"/>
      <c r="D11" s="18" t="n"/>
      <c r="E11" s="19" t="n"/>
      <c r="F11" s="19" t="n"/>
      <c r="G11" s="19" t="n"/>
      <c r="H11" s="17" t="n"/>
      <c r="I11" s="18" t="n"/>
      <c r="J11" s="17" t="n"/>
      <c r="K11" s="19">
        <f>IF(G11&lt;&gt;"",G11+3,"")</f>
        <v/>
      </c>
      <c r="L11" s="17" t="n"/>
      <c r="M11" s="19">
        <f>IF(G11&lt;&gt;"",G11+6,"")</f>
        <v/>
      </c>
      <c r="N11" s="17" t="n"/>
      <c r="O11" s="17" t="n"/>
      <c r="P11" s="18" t="n"/>
    </row>
    <row r="12" ht="24" customHeight="1">
      <c r="A12" s="4" t="n">
        <v>9</v>
      </c>
      <c r="B12" s="4" t="n"/>
      <c r="C12" s="5" t="n"/>
      <c r="D12" s="5" t="n"/>
      <c r="E12" s="7" t="n"/>
      <c r="F12" s="7" t="n"/>
      <c r="G12" s="7" t="n"/>
      <c r="H12" s="4" t="n"/>
      <c r="I12" s="5" t="n"/>
      <c r="J12" s="4" t="n"/>
      <c r="K12" s="7">
        <f>IF(G12&lt;&gt;"",G12+3,"")</f>
        <v/>
      </c>
      <c r="L12" s="4" t="n"/>
      <c r="M12" s="7">
        <f>IF(G12&lt;&gt;"",G12+6,"")</f>
        <v/>
      </c>
      <c r="N12" s="4" t="n"/>
      <c r="O12" s="4" t="n"/>
      <c r="P12" s="5" t="n"/>
    </row>
    <row r="13" ht="24" customHeight="1">
      <c r="A13" s="17" t="n">
        <v>10</v>
      </c>
      <c r="B13" s="17" t="n"/>
      <c r="C13" s="18" t="n"/>
      <c r="D13" s="18" t="n"/>
      <c r="E13" s="19" t="n"/>
      <c r="F13" s="19" t="n"/>
      <c r="G13" s="19" t="n"/>
      <c r="H13" s="17" t="n"/>
      <c r="I13" s="18" t="n"/>
      <c r="J13" s="17" t="n"/>
      <c r="K13" s="19">
        <f>IF(G13&lt;&gt;"",G13+3,"")</f>
        <v/>
      </c>
      <c r="L13" s="17" t="n"/>
      <c r="M13" s="19">
        <f>IF(G13&lt;&gt;"",G13+6,"")</f>
        <v/>
      </c>
      <c r="N13" s="17" t="n"/>
      <c r="O13" s="17" t="n"/>
      <c r="P13" s="18" t="n"/>
    </row>
    <row r="14" ht="24" customHeight="1">
      <c r="A14" s="4" t="n">
        <v>11</v>
      </c>
      <c r="B14" s="4" t="n"/>
      <c r="C14" s="5" t="n"/>
      <c r="D14" s="5" t="n"/>
      <c r="E14" s="7" t="n"/>
      <c r="F14" s="7" t="n"/>
      <c r="G14" s="7" t="n"/>
      <c r="H14" s="4" t="n"/>
      <c r="I14" s="5" t="n"/>
      <c r="J14" s="4" t="n"/>
      <c r="K14" s="7">
        <f>IF(G14&lt;&gt;"",G14+3,"")</f>
        <v/>
      </c>
      <c r="L14" s="4" t="n"/>
      <c r="M14" s="7">
        <f>IF(G14&lt;&gt;"",G14+6,"")</f>
        <v/>
      </c>
      <c r="N14" s="4" t="n"/>
      <c r="O14" s="4" t="n"/>
      <c r="P14" s="5" t="n"/>
    </row>
    <row r="15" ht="24" customHeight="1">
      <c r="A15" s="17" t="n">
        <v>12</v>
      </c>
      <c r="B15" s="17" t="n"/>
      <c r="C15" s="18" t="n"/>
      <c r="D15" s="18" t="n"/>
      <c r="E15" s="19" t="n"/>
      <c r="F15" s="19" t="n"/>
      <c r="G15" s="19" t="n"/>
      <c r="H15" s="17" t="n"/>
      <c r="I15" s="18" t="n"/>
      <c r="J15" s="17" t="n"/>
      <c r="K15" s="19">
        <f>IF(G15&lt;&gt;"",G15+3,"")</f>
        <v/>
      </c>
      <c r="L15" s="17" t="n"/>
      <c r="M15" s="19">
        <f>IF(G15&lt;&gt;"",G15+6,"")</f>
        <v/>
      </c>
      <c r="N15" s="17" t="n"/>
      <c r="O15" s="17" t="n"/>
      <c r="P15" s="18" t="n"/>
    </row>
    <row r="16" ht="24" customHeight="1">
      <c r="A16" s="4" t="n">
        <v>13</v>
      </c>
      <c r="B16" s="4" t="n"/>
      <c r="C16" s="5" t="n"/>
      <c r="D16" s="5" t="n"/>
      <c r="E16" s="7" t="n"/>
      <c r="F16" s="7" t="n"/>
      <c r="G16" s="7" t="n"/>
      <c r="H16" s="4" t="n"/>
      <c r="I16" s="5" t="n"/>
      <c r="J16" s="4" t="n"/>
      <c r="K16" s="7">
        <f>IF(G16&lt;&gt;"",G16+3,"")</f>
        <v/>
      </c>
      <c r="L16" s="4" t="n"/>
      <c r="M16" s="7">
        <f>IF(G16&lt;&gt;"",G16+6,"")</f>
        <v/>
      </c>
      <c r="N16" s="4" t="n"/>
      <c r="O16" s="4" t="n"/>
      <c r="P16" s="5" t="n"/>
    </row>
    <row r="17" ht="24" customHeight="1">
      <c r="A17" s="17" t="n">
        <v>14</v>
      </c>
      <c r="B17" s="17" t="n"/>
      <c r="C17" s="18" t="n"/>
      <c r="D17" s="18" t="n"/>
      <c r="E17" s="19" t="n"/>
      <c r="F17" s="19" t="n"/>
      <c r="G17" s="19" t="n"/>
      <c r="H17" s="17" t="n"/>
      <c r="I17" s="18" t="n"/>
      <c r="J17" s="17" t="n"/>
      <c r="K17" s="19">
        <f>IF(G17&lt;&gt;"",G17+3,"")</f>
        <v/>
      </c>
      <c r="L17" s="17" t="n"/>
      <c r="M17" s="19">
        <f>IF(G17&lt;&gt;"",G17+6,"")</f>
        <v/>
      </c>
      <c r="N17" s="17" t="n"/>
      <c r="O17" s="17" t="n"/>
      <c r="P17" s="18" t="n"/>
    </row>
    <row r="18" ht="24" customHeight="1">
      <c r="A18" s="4" t="n">
        <v>15</v>
      </c>
      <c r="B18" s="4" t="n"/>
      <c r="C18" s="5" t="n"/>
      <c r="D18" s="5" t="n"/>
      <c r="E18" s="7" t="n"/>
      <c r="F18" s="7" t="n"/>
      <c r="G18" s="7" t="n"/>
      <c r="H18" s="4" t="n"/>
      <c r="I18" s="5" t="n"/>
      <c r="J18" s="4" t="n"/>
      <c r="K18" s="7">
        <f>IF(G18&lt;&gt;"",G18+3,"")</f>
        <v/>
      </c>
      <c r="L18" s="4" t="n"/>
      <c r="M18" s="7">
        <f>IF(G18&lt;&gt;"",G18+6,"")</f>
        <v/>
      </c>
      <c r="N18" s="4" t="n"/>
      <c r="O18" s="4" t="n"/>
      <c r="P18" s="5" t="n"/>
    </row>
    <row r="19" ht="24" customHeight="1">
      <c r="A19" s="17" t="n">
        <v>16</v>
      </c>
      <c r="B19" s="17" t="n"/>
      <c r="C19" s="18" t="n"/>
      <c r="D19" s="18" t="n"/>
      <c r="E19" s="19" t="n"/>
      <c r="F19" s="19" t="n"/>
      <c r="G19" s="19" t="n"/>
      <c r="H19" s="17" t="n"/>
      <c r="I19" s="18" t="n"/>
      <c r="J19" s="17" t="n"/>
      <c r="K19" s="19">
        <f>IF(G19&lt;&gt;"",G19+3,"")</f>
        <v/>
      </c>
      <c r="L19" s="17" t="n"/>
      <c r="M19" s="19">
        <f>IF(G19&lt;&gt;"",G19+6,"")</f>
        <v/>
      </c>
      <c r="N19" s="17" t="n"/>
      <c r="O19" s="17" t="n"/>
      <c r="P19" s="18" t="n"/>
    </row>
    <row r="20" ht="24" customHeight="1">
      <c r="A20" s="4" t="n">
        <v>17</v>
      </c>
      <c r="B20" s="4" t="n"/>
      <c r="C20" s="5" t="n"/>
      <c r="D20" s="5" t="n"/>
      <c r="E20" s="7" t="n"/>
      <c r="F20" s="7" t="n"/>
      <c r="G20" s="7" t="n"/>
      <c r="H20" s="4" t="n"/>
      <c r="I20" s="5" t="n"/>
      <c r="J20" s="4" t="n"/>
      <c r="K20" s="7">
        <f>IF(G20&lt;&gt;"",G20+3,"")</f>
        <v/>
      </c>
      <c r="L20" s="4" t="n"/>
      <c r="M20" s="7">
        <f>IF(G20&lt;&gt;"",G20+6,"")</f>
        <v/>
      </c>
      <c r="N20" s="4" t="n"/>
      <c r="O20" s="4" t="n"/>
      <c r="P20" s="5" t="n"/>
    </row>
    <row r="21" ht="24" customHeight="1">
      <c r="A21" s="17" t="n">
        <v>18</v>
      </c>
      <c r="B21" s="17" t="n"/>
      <c r="C21" s="18" t="n"/>
      <c r="D21" s="18" t="n"/>
      <c r="E21" s="19" t="n"/>
      <c r="F21" s="19" t="n"/>
      <c r="G21" s="19" t="n"/>
      <c r="H21" s="17" t="n"/>
      <c r="I21" s="18" t="n"/>
      <c r="J21" s="17" t="n"/>
      <c r="K21" s="19">
        <f>IF(G21&lt;&gt;"",G21+3,"")</f>
        <v/>
      </c>
      <c r="L21" s="17" t="n"/>
      <c r="M21" s="19">
        <f>IF(G21&lt;&gt;"",G21+6,"")</f>
        <v/>
      </c>
      <c r="N21" s="17" t="n"/>
      <c r="O21" s="17" t="n"/>
      <c r="P21" s="18" t="n"/>
    </row>
    <row r="22" ht="24" customHeight="1">
      <c r="A22" s="4" t="n">
        <v>19</v>
      </c>
      <c r="B22" s="4" t="n"/>
      <c r="C22" s="5" t="n"/>
      <c r="D22" s="5" t="n"/>
      <c r="E22" s="7" t="n"/>
      <c r="F22" s="7" t="n"/>
      <c r="G22" s="7" t="n"/>
      <c r="H22" s="4" t="n"/>
      <c r="I22" s="5" t="n"/>
      <c r="J22" s="4" t="n"/>
      <c r="K22" s="7">
        <f>IF(G22&lt;&gt;"",G22+3,"")</f>
        <v/>
      </c>
      <c r="L22" s="4" t="n"/>
      <c r="M22" s="7">
        <f>IF(G22&lt;&gt;"",G22+6,"")</f>
        <v/>
      </c>
      <c r="N22" s="4" t="n"/>
      <c r="O22" s="4" t="n"/>
      <c r="P22" s="5" t="n"/>
    </row>
    <row r="23" ht="24" customHeight="1">
      <c r="A23" s="17" t="n">
        <v>20</v>
      </c>
      <c r="B23" s="17" t="n"/>
      <c r="C23" s="18" t="n"/>
      <c r="D23" s="18" t="n"/>
      <c r="E23" s="19" t="n"/>
      <c r="F23" s="19" t="n"/>
      <c r="G23" s="19" t="n"/>
      <c r="H23" s="17" t="n"/>
      <c r="I23" s="18" t="n"/>
      <c r="J23" s="17" t="n"/>
      <c r="K23" s="19">
        <f>IF(G23&lt;&gt;"",G23+3,"")</f>
        <v/>
      </c>
      <c r="L23" s="17" t="n"/>
      <c r="M23" s="19">
        <f>IF(G23&lt;&gt;"",G23+6,"")</f>
        <v/>
      </c>
      <c r="N23" s="17" t="n"/>
      <c r="O23" s="17" t="n"/>
      <c r="P23" s="18" t="n"/>
    </row>
    <row r="24" ht="24" customHeight="1">
      <c r="A24" s="4" t="n">
        <v>21</v>
      </c>
      <c r="B24" s="4" t="n"/>
      <c r="C24" s="5" t="n"/>
      <c r="D24" s="5" t="n"/>
      <c r="E24" s="7" t="n"/>
      <c r="F24" s="7" t="n"/>
      <c r="G24" s="7" t="n"/>
      <c r="H24" s="4" t="n"/>
      <c r="I24" s="5" t="n"/>
      <c r="J24" s="4" t="n"/>
      <c r="K24" s="7">
        <f>IF(G24&lt;&gt;"",G24+3,"")</f>
        <v/>
      </c>
      <c r="L24" s="4" t="n"/>
      <c r="M24" s="7">
        <f>IF(G24&lt;&gt;"",G24+6,"")</f>
        <v/>
      </c>
      <c r="N24" s="4" t="n"/>
      <c r="O24" s="4" t="n"/>
      <c r="P24" s="5" t="n"/>
    </row>
    <row r="25" ht="24" customHeight="1">
      <c r="A25" s="17" t="n">
        <v>22</v>
      </c>
      <c r="B25" s="17" t="n"/>
      <c r="C25" s="18" t="n"/>
      <c r="D25" s="18" t="n"/>
      <c r="E25" s="19" t="n"/>
      <c r="F25" s="19" t="n"/>
      <c r="G25" s="19" t="n"/>
      <c r="H25" s="17" t="n"/>
      <c r="I25" s="18" t="n"/>
      <c r="J25" s="17" t="n"/>
      <c r="K25" s="19">
        <f>IF(G25&lt;&gt;"",G25+3,"")</f>
        <v/>
      </c>
      <c r="L25" s="17" t="n"/>
      <c r="M25" s="19">
        <f>IF(G25&lt;&gt;"",G25+6,"")</f>
        <v/>
      </c>
      <c r="N25" s="17" t="n"/>
      <c r="O25" s="17" t="n"/>
      <c r="P25" s="18" t="n"/>
    </row>
    <row r="26" ht="24" customHeight="1">
      <c r="A26" s="4" t="n">
        <v>23</v>
      </c>
      <c r="B26" s="4" t="n"/>
      <c r="C26" s="5" t="n"/>
      <c r="D26" s="5" t="n"/>
      <c r="E26" s="7" t="n"/>
      <c r="F26" s="7" t="n"/>
      <c r="G26" s="7" t="n"/>
      <c r="H26" s="4" t="n"/>
      <c r="I26" s="5" t="n"/>
      <c r="J26" s="4" t="n"/>
      <c r="K26" s="7">
        <f>IF(G26&lt;&gt;"",G26+3,"")</f>
        <v/>
      </c>
      <c r="L26" s="4" t="n"/>
      <c r="M26" s="7">
        <f>IF(G26&lt;&gt;"",G26+6,"")</f>
        <v/>
      </c>
      <c r="N26" s="4" t="n"/>
      <c r="O26" s="4" t="n"/>
      <c r="P26" s="5" t="n"/>
    </row>
    <row r="27" ht="24" customHeight="1">
      <c r="A27" s="17" t="n">
        <v>24</v>
      </c>
      <c r="B27" s="17" t="n"/>
      <c r="C27" s="18" t="n"/>
      <c r="D27" s="18" t="n"/>
      <c r="E27" s="19" t="n"/>
      <c r="F27" s="19" t="n"/>
      <c r="G27" s="19" t="n"/>
      <c r="H27" s="17" t="n"/>
      <c r="I27" s="18" t="n"/>
      <c r="J27" s="17" t="n"/>
      <c r="K27" s="19">
        <f>IF(G27&lt;&gt;"",G27+3,"")</f>
        <v/>
      </c>
      <c r="L27" s="17" t="n"/>
      <c r="M27" s="19">
        <f>IF(G27&lt;&gt;"",G27+6,"")</f>
        <v/>
      </c>
      <c r="N27" s="17" t="n"/>
      <c r="O27" s="17" t="n"/>
      <c r="P27" s="18" t="n"/>
    </row>
    <row r="28" ht="24" customHeight="1">
      <c r="A28" s="4" t="n">
        <v>25</v>
      </c>
      <c r="B28" s="4" t="n"/>
      <c r="C28" s="5" t="n"/>
      <c r="D28" s="5" t="n"/>
      <c r="E28" s="7" t="n"/>
      <c r="F28" s="7" t="n"/>
      <c r="G28" s="7" t="n"/>
      <c r="H28" s="4" t="n"/>
      <c r="I28" s="5" t="n"/>
      <c r="J28" s="4" t="n"/>
      <c r="K28" s="7">
        <f>IF(G28&lt;&gt;"",G28+3,"")</f>
        <v/>
      </c>
      <c r="L28" s="4" t="n"/>
      <c r="M28" s="7">
        <f>IF(G28&lt;&gt;"",G28+6,"")</f>
        <v/>
      </c>
      <c r="N28" s="4" t="n"/>
      <c r="O28" s="4" t="n"/>
      <c r="P28" s="5" t="n"/>
    </row>
    <row r="29" ht="24" customHeight="1">
      <c r="A29" s="17" t="n">
        <v>26</v>
      </c>
      <c r="B29" s="17" t="n"/>
      <c r="C29" s="18" t="n"/>
      <c r="D29" s="18" t="n"/>
      <c r="E29" s="19" t="n"/>
      <c r="F29" s="19" t="n"/>
      <c r="G29" s="19" t="n"/>
      <c r="H29" s="17" t="n"/>
      <c r="I29" s="18" t="n"/>
      <c r="J29" s="17" t="n"/>
      <c r="K29" s="19">
        <f>IF(G29&lt;&gt;"",G29+3,"")</f>
        <v/>
      </c>
      <c r="L29" s="17" t="n"/>
      <c r="M29" s="19">
        <f>IF(G29&lt;&gt;"",G29+6,"")</f>
        <v/>
      </c>
      <c r="N29" s="17" t="n"/>
      <c r="O29" s="17" t="n"/>
      <c r="P29" s="18" t="n"/>
    </row>
    <row r="30" ht="24" customHeight="1">
      <c r="A30" s="4" t="n">
        <v>27</v>
      </c>
      <c r="B30" s="4" t="n"/>
      <c r="C30" s="5" t="n"/>
      <c r="D30" s="5" t="n"/>
      <c r="E30" s="7" t="n"/>
      <c r="F30" s="7" t="n"/>
      <c r="G30" s="7" t="n"/>
      <c r="H30" s="4" t="n"/>
      <c r="I30" s="5" t="n"/>
      <c r="J30" s="4" t="n"/>
      <c r="K30" s="7">
        <f>IF(G30&lt;&gt;"",G30+3,"")</f>
        <v/>
      </c>
      <c r="L30" s="4" t="n"/>
      <c r="M30" s="7">
        <f>IF(G30&lt;&gt;"",G30+6,"")</f>
        <v/>
      </c>
      <c r="N30" s="4" t="n"/>
      <c r="O30" s="4" t="n"/>
      <c r="P30" s="5" t="n"/>
    </row>
    <row r="31" ht="24" customHeight="1">
      <c r="A31" s="17" t="n">
        <v>28</v>
      </c>
      <c r="B31" s="17" t="n"/>
      <c r="C31" s="18" t="n"/>
      <c r="D31" s="18" t="n"/>
      <c r="E31" s="19" t="n"/>
      <c r="F31" s="19" t="n"/>
      <c r="G31" s="19" t="n"/>
      <c r="H31" s="17" t="n"/>
      <c r="I31" s="18" t="n"/>
      <c r="J31" s="17" t="n"/>
      <c r="K31" s="19">
        <f>IF(G31&lt;&gt;"",G31+3,"")</f>
        <v/>
      </c>
      <c r="L31" s="17" t="n"/>
      <c r="M31" s="19">
        <f>IF(G31&lt;&gt;"",G31+6,"")</f>
        <v/>
      </c>
      <c r="N31" s="17" t="n"/>
      <c r="O31" s="17" t="n"/>
      <c r="P31" s="18" t="n"/>
    </row>
    <row r="32" ht="24" customHeight="1">
      <c r="A32" s="4" t="n">
        <v>29</v>
      </c>
      <c r="B32" s="4" t="n"/>
      <c r="C32" s="5" t="n"/>
      <c r="D32" s="5" t="n"/>
      <c r="E32" s="7" t="n"/>
      <c r="F32" s="7" t="n"/>
      <c r="G32" s="7" t="n"/>
      <c r="H32" s="4" t="n"/>
      <c r="I32" s="5" t="n"/>
      <c r="J32" s="4" t="n"/>
      <c r="K32" s="7">
        <f>IF(G32&lt;&gt;"",G32+3,"")</f>
        <v/>
      </c>
      <c r="L32" s="4" t="n"/>
      <c r="M32" s="7">
        <f>IF(G32&lt;&gt;"",G32+6,"")</f>
        <v/>
      </c>
      <c r="N32" s="4" t="n"/>
      <c r="O32" s="4" t="n"/>
      <c r="P32" s="5" t="n"/>
    </row>
    <row r="33" ht="24" customHeight="1">
      <c r="A33" s="17" t="n">
        <v>30</v>
      </c>
      <c r="B33" s="17" t="n"/>
      <c r="C33" s="18" t="n"/>
      <c r="D33" s="18" t="n"/>
      <c r="E33" s="19" t="n"/>
      <c r="F33" s="19" t="n"/>
      <c r="G33" s="19" t="n"/>
      <c r="H33" s="17" t="n"/>
      <c r="I33" s="18" t="n"/>
      <c r="J33" s="17" t="n"/>
      <c r="K33" s="19">
        <f>IF(G33&lt;&gt;"",G33+3,"")</f>
        <v/>
      </c>
      <c r="L33" s="17" t="n"/>
      <c r="M33" s="19">
        <f>IF(G33&lt;&gt;"",G33+6,"")</f>
        <v/>
      </c>
      <c r="N33" s="17" t="n"/>
      <c r="O33" s="17" t="n"/>
      <c r="P33" s="18" t="n"/>
    </row>
    <row r="34" ht="24" customHeight="1">
      <c r="A34" s="4" t="n">
        <v>31</v>
      </c>
      <c r="B34" s="4" t="n"/>
      <c r="C34" s="5" t="n"/>
      <c r="D34" s="5" t="n"/>
      <c r="E34" s="7" t="n"/>
      <c r="F34" s="7" t="n"/>
      <c r="G34" s="7" t="n"/>
      <c r="H34" s="4" t="n"/>
      <c r="I34" s="5" t="n"/>
      <c r="J34" s="4" t="n"/>
      <c r="K34" s="7">
        <f>IF(G34&lt;&gt;"",G34+3,"")</f>
        <v/>
      </c>
      <c r="L34" s="4" t="n"/>
      <c r="M34" s="7">
        <f>IF(G34&lt;&gt;"",G34+6,"")</f>
        <v/>
      </c>
      <c r="N34" s="4" t="n"/>
      <c r="O34" s="4" t="n"/>
      <c r="P34" s="5" t="n"/>
    </row>
    <row r="35" ht="24" customHeight="1">
      <c r="A35" s="17" t="n">
        <v>32</v>
      </c>
      <c r="B35" s="17" t="n"/>
      <c r="C35" s="18" t="n"/>
      <c r="D35" s="18" t="n"/>
      <c r="E35" s="19" t="n"/>
      <c r="F35" s="19" t="n"/>
      <c r="G35" s="19" t="n"/>
      <c r="H35" s="17" t="n"/>
      <c r="I35" s="18" t="n"/>
      <c r="J35" s="17" t="n"/>
      <c r="K35" s="19">
        <f>IF(G35&lt;&gt;"",G35+3,"")</f>
        <v/>
      </c>
      <c r="L35" s="17" t="n"/>
      <c r="M35" s="19">
        <f>IF(G35&lt;&gt;"",G35+6,"")</f>
        <v/>
      </c>
      <c r="N35" s="17" t="n"/>
      <c r="O35" s="17" t="n"/>
      <c r="P35" s="18" t="n"/>
    </row>
    <row r="36" ht="24" customHeight="1">
      <c r="A36" s="4" t="n">
        <v>33</v>
      </c>
      <c r="B36" s="4" t="n"/>
      <c r="C36" s="5" t="n"/>
      <c r="D36" s="5" t="n"/>
      <c r="E36" s="7" t="n"/>
      <c r="F36" s="7" t="n"/>
      <c r="G36" s="7" t="n"/>
      <c r="H36" s="4" t="n"/>
      <c r="I36" s="5" t="n"/>
      <c r="J36" s="4" t="n"/>
      <c r="K36" s="7">
        <f>IF(G36&lt;&gt;"",G36+3,"")</f>
        <v/>
      </c>
      <c r="L36" s="4" t="n"/>
      <c r="M36" s="7">
        <f>IF(G36&lt;&gt;"",G36+6,"")</f>
        <v/>
      </c>
      <c r="N36" s="4" t="n"/>
      <c r="O36" s="4" t="n"/>
      <c r="P36" s="5" t="n"/>
    </row>
    <row r="37" ht="24" customHeight="1">
      <c r="A37" s="17" t="n">
        <v>34</v>
      </c>
      <c r="B37" s="17" t="n"/>
      <c r="C37" s="18" t="n"/>
      <c r="D37" s="18" t="n"/>
      <c r="E37" s="19" t="n"/>
      <c r="F37" s="19" t="n"/>
      <c r="G37" s="19" t="n"/>
      <c r="H37" s="17" t="n"/>
      <c r="I37" s="18" t="n"/>
      <c r="J37" s="17" t="n"/>
      <c r="K37" s="19">
        <f>IF(G37&lt;&gt;"",G37+3,"")</f>
        <v/>
      </c>
      <c r="L37" s="17" t="n"/>
      <c r="M37" s="19">
        <f>IF(G37&lt;&gt;"",G37+6,"")</f>
        <v/>
      </c>
      <c r="N37" s="17" t="n"/>
      <c r="O37" s="17" t="n"/>
      <c r="P37" s="18" t="n"/>
    </row>
    <row r="38" ht="24" customHeight="1">
      <c r="A38" s="4" t="n">
        <v>35</v>
      </c>
      <c r="B38" s="4" t="n"/>
      <c r="C38" s="5" t="n"/>
      <c r="D38" s="5" t="n"/>
      <c r="E38" s="7" t="n"/>
      <c r="F38" s="7" t="n"/>
      <c r="G38" s="7" t="n"/>
      <c r="H38" s="4" t="n"/>
      <c r="I38" s="5" t="n"/>
      <c r="J38" s="4" t="n"/>
      <c r="K38" s="7">
        <f>IF(G38&lt;&gt;"",G38+3,"")</f>
        <v/>
      </c>
      <c r="L38" s="4" t="n"/>
      <c r="M38" s="7">
        <f>IF(G38&lt;&gt;"",G38+6,"")</f>
        <v/>
      </c>
      <c r="N38" s="4" t="n"/>
      <c r="O38" s="4" t="n"/>
      <c r="P38" s="5" t="n"/>
    </row>
    <row r="39" ht="24" customHeight="1">
      <c r="A39" s="17" t="n">
        <v>36</v>
      </c>
      <c r="B39" s="17" t="n"/>
      <c r="C39" s="18" t="n"/>
      <c r="D39" s="18" t="n"/>
      <c r="E39" s="19" t="n"/>
      <c r="F39" s="19" t="n"/>
      <c r="G39" s="19" t="n"/>
      <c r="H39" s="17" t="n"/>
      <c r="I39" s="18" t="n"/>
      <c r="J39" s="17" t="n"/>
      <c r="K39" s="19">
        <f>IF(G39&lt;&gt;"",G39+3,"")</f>
        <v/>
      </c>
      <c r="L39" s="17" t="n"/>
      <c r="M39" s="19">
        <f>IF(G39&lt;&gt;"",G39+6,"")</f>
        <v/>
      </c>
      <c r="N39" s="17" t="n"/>
      <c r="O39" s="17" t="n"/>
      <c r="P39" s="18" t="n"/>
    </row>
    <row r="40" ht="24" customHeight="1">
      <c r="A40" s="4" t="n">
        <v>37</v>
      </c>
      <c r="B40" s="4" t="n"/>
      <c r="C40" s="5" t="n"/>
      <c r="D40" s="5" t="n"/>
      <c r="E40" s="7" t="n"/>
      <c r="F40" s="7" t="n"/>
      <c r="G40" s="7" t="n"/>
      <c r="H40" s="4" t="n"/>
      <c r="I40" s="5" t="n"/>
      <c r="J40" s="4" t="n"/>
      <c r="K40" s="7">
        <f>IF(G40&lt;&gt;"",G40+3,"")</f>
        <v/>
      </c>
      <c r="L40" s="4" t="n"/>
      <c r="M40" s="7">
        <f>IF(G40&lt;&gt;"",G40+6,"")</f>
        <v/>
      </c>
      <c r="N40" s="4" t="n"/>
      <c r="O40" s="4" t="n"/>
      <c r="P40" s="5" t="n"/>
    </row>
    <row r="41" ht="24" customHeight="1">
      <c r="A41" s="17" t="n">
        <v>38</v>
      </c>
      <c r="B41" s="17" t="n"/>
      <c r="C41" s="18" t="n"/>
      <c r="D41" s="18" t="n"/>
      <c r="E41" s="19" t="n"/>
      <c r="F41" s="19" t="n"/>
      <c r="G41" s="19" t="n"/>
      <c r="H41" s="17" t="n"/>
      <c r="I41" s="18" t="n"/>
      <c r="J41" s="17" t="n"/>
      <c r="K41" s="19">
        <f>IF(G41&lt;&gt;"",G41+3,"")</f>
        <v/>
      </c>
      <c r="L41" s="17" t="n"/>
      <c r="M41" s="19">
        <f>IF(G41&lt;&gt;"",G41+6,"")</f>
        <v/>
      </c>
      <c r="N41" s="17" t="n"/>
      <c r="O41" s="17" t="n"/>
      <c r="P41" s="18" t="n"/>
    </row>
    <row r="42" ht="24" customHeight="1">
      <c r="A42" s="4" t="n">
        <v>39</v>
      </c>
      <c r="B42" s="4" t="n"/>
      <c r="C42" s="5" t="n"/>
      <c r="D42" s="5" t="n"/>
      <c r="E42" s="7" t="n"/>
      <c r="F42" s="7" t="n"/>
      <c r="G42" s="7" t="n"/>
      <c r="H42" s="4" t="n"/>
      <c r="I42" s="5" t="n"/>
      <c r="J42" s="4" t="n"/>
      <c r="K42" s="7">
        <f>IF(G42&lt;&gt;"",G42+3,"")</f>
        <v/>
      </c>
      <c r="L42" s="4" t="n"/>
      <c r="M42" s="7">
        <f>IF(G42&lt;&gt;"",G42+6,"")</f>
        <v/>
      </c>
      <c r="N42" s="4" t="n"/>
      <c r="O42" s="4" t="n"/>
      <c r="P42" s="5" t="n"/>
    </row>
    <row r="43" ht="24" customHeight="1">
      <c r="A43" s="17" t="n">
        <v>40</v>
      </c>
      <c r="B43" s="17" t="n"/>
      <c r="C43" s="18" t="n"/>
      <c r="D43" s="18" t="n"/>
      <c r="E43" s="19" t="n"/>
      <c r="F43" s="19" t="n"/>
      <c r="G43" s="19" t="n"/>
      <c r="H43" s="17" t="n"/>
      <c r="I43" s="18" t="n"/>
      <c r="J43" s="17" t="n"/>
      <c r="K43" s="19">
        <f>IF(G43&lt;&gt;"",G43+3,"")</f>
        <v/>
      </c>
      <c r="L43" s="17" t="n"/>
      <c r="M43" s="19">
        <f>IF(G43&lt;&gt;"",G43+6,"")</f>
        <v/>
      </c>
      <c r="N43" s="17" t="n"/>
      <c r="O43" s="17" t="n"/>
      <c r="P43" s="18" t="n"/>
    </row>
    <row r="44" ht="24" customHeight="1">
      <c r="A44" s="4" t="n">
        <v>41</v>
      </c>
      <c r="B44" s="4" t="n"/>
      <c r="C44" s="5" t="n"/>
      <c r="D44" s="5" t="n"/>
      <c r="E44" s="7" t="n"/>
      <c r="F44" s="7" t="n"/>
      <c r="G44" s="7" t="n"/>
      <c r="H44" s="4" t="n"/>
      <c r="I44" s="5" t="n"/>
      <c r="J44" s="4" t="n"/>
      <c r="K44" s="7">
        <f>IF(G44&lt;&gt;"",G44+3,"")</f>
        <v/>
      </c>
      <c r="L44" s="4" t="n"/>
      <c r="M44" s="7">
        <f>IF(G44&lt;&gt;"",G44+6,"")</f>
        <v/>
      </c>
      <c r="N44" s="4" t="n"/>
      <c r="O44" s="4" t="n"/>
      <c r="P44" s="5" t="n"/>
    </row>
    <row r="45" ht="24" customHeight="1">
      <c r="A45" s="17" t="n">
        <v>42</v>
      </c>
      <c r="B45" s="17" t="n"/>
      <c r="C45" s="18" t="n"/>
      <c r="D45" s="18" t="n"/>
      <c r="E45" s="19" t="n"/>
      <c r="F45" s="19" t="n"/>
      <c r="G45" s="19" t="n"/>
      <c r="H45" s="17" t="n"/>
      <c r="I45" s="18" t="n"/>
      <c r="J45" s="17" t="n"/>
      <c r="K45" s="19">
        <f>IF(G45&lt;&gt;"",G45+3,"")</f>
        <v/>
      </c>
      <c r="L45" s="17" t="n"/>
      <c r="M45" s="19">
        <f>IF(G45&lt;&gt;"",G45+6,"")</f>
        <v/>
      </c>
      <c r="N45" s="17" t="n"/>
      <c r="O45" s="17" t="n"/>
      <c r="P45" s="18" t="n"/>
    </row>
    <row r="46" ht="24" customHeight="1">
      <c r="A46" s="4" t="n">
        <v>43</v>
      </c>
      <c r="B46" s="4" t="n"/>
      <c r="C46" s="5" t="n"/>
      <c r="D46" s="5" t="n"/>
      <c r="E46" s="7" t="n"/>
      <c r="F46" s="7" t="n"/>
      <c r="G46" s="7" t="n"/>
      <c r="H46" s="4" t="n"/>
      <c r="I46" s="5" t="n"/>
      <c r="J46" s="4" t="n"/>
      <c r="K46" s="7">
        <f>IF(G46&lt;&gt;"",G46+3,"")</f>
        <v/>
      </c>
      <c r="L46" s="4" t="n"/>
      <c r="M46" s="7">
        <f>IF(G46&lt;&gt;"",G46+6,"")</f>
        <v/>
      </c>
      <c r="N46" s="4" t="n"/>
      <c r="O46" s="4" t="n"/>
      <c r="P46" s="5" t="n"/>
    </row>
    <row r="47" ht="24" customHeight="1">
      <c r="A47" s="17" t="n">
        <v>44</v>
      </c>
      <c r="B47" s="17" t="n"/>
      <c r="C47" s="18" t="n"/>
      <c r="D47" s="18" t="n"/>
      <c r="E47" s="19" t="n"/>
      <c r="F47" s="19" t="n"/>
      <c r="G47" s="19" t="n"/>
      <c r="H47" s="17" t="n"/>
      <c r="I47" s="18" t="n"/>
      <c r="J47" s="17" t="n"/>
      <c r="K47" s="19">
        <f>IF(G47&lt;&gt;"",G47+3,"")</f>
        <v/>
      </c>
      <c r="L47" s="17" t="n"/>
      <c r="M47" s="19">
        <f>IF(G47&lt;&gt;"",G47+6,"")</f>
        <v/>
      </c>
      <c r="N47" s="17" t="n"/>
      <c r="O47" s="17" t="n"/>
      <c r="P47" s="18" t="n"/>
    </row>
    <row r="48" ht="24" customHeight="1">
      <c r="A48" s="4" t="n">
        <v>45</v>
      </c>
      <c r="B48" s="4" t="n"/>
      <c r="C48" s="5" t="n"/>
      <c r="D48" s="5" t="n"/>
      <c r="E48" s="7" t="n"/>
      <c r="F48" s="7" t="n"/>
      <c r="G48" s="7" t="n"/>
      <c r="H48" s="4" t="n"/>
      <c r="I48" s="5" t="n"/>
      <c r="J48" s="4" t="n"/>
      <c r="K48" s="7">
        <f>IF(G48&lt;&gt;"",G48+3,"")</f>
        <v/>
      </c>
      <c r="L48" s="4" t="n"/>
      <c r="M48" s="7">
        <f>IF(G48&lt;&gt;"",G48+6,"")</f>
        <v/>
      </c>
      <c r="N48" s="4" t="n"/>
      <c r="O48" s="4" t="n"/>
      <c r="P48" s="5" t="n"/>
    </row>
    <row r="49" ht="24" customHeight="1">
      <c r="A49" s="17" t="n">
        <v>46</v>
      </c>
      <c r="B49" s="17" t="n"/>
      <c r="C49" s="18" t="n"/>
      <c r="D49" s="18" t="n"/>
      <c r="E49" s="19" t="n"/>
      <c r="F49" s="19" t="n"/>
      <c r="G49" s="19" t="n"/>
      <c r="H49" s="17" t="n"/>
      <c r="I49" s="18" t="n"/>
      <c r="J49" s="17" t="n"/>
      <c r="K49" s="19">
        <f>IF(G49&lt;&gt;"",G49+3,"")</f>
        <v/>
      </c>
      <c r="L49" s="17" t="n"/>
      <c r="M49" s="19">
        <f>IF(G49&lt;&gt;"",G49+6,"")</f>
        <v/>
      </c>
      <c r="N49" s="17" t="n"/>
      <c r="O49" s="17" t="n"/>
      <c r="P49" s="18" t="n"/>
    </row>
    <row r="50" ht="24" customHeight="1">
      <c r="A50" s="4" t="n">
        <v>47</v>
      </c>
      <c r="B50" s="4" t="n"/>
      <c r="C50" s="5" t="n"/>
      <c r="D50" s="5" t="n"/>
      <c r="E50" s="7" t="n"/>
      <c r="F50" s="7" t="n"/>
      <c r="G50" s="7" t="n"/>
      <c r="H50" s="4" t="n"/>
      <c r="I50" s="5" t="n"/>
      <c r="J50" s="4" t="n"/>
      <c r="K50" s="7">
        <f>IF(G50&lt;&gt;"",G50+3,"")</f>
        <v/>
      </c>
      <c r="L50" s="4" t="n"/>
      <c r="M50" s="7">
        <f>IF(G50&lt;&gt;"",G50+6,"")</f>
        <v/>
      </c>
      <c r="N50" s="4" t="n"/>
      <c r="O50" s="4" t="n"/>
      <c r="P50" s="5" t="n"/>
    </row>
    <row r="51" ht="24" customHeight="1">
      <c r="A51" s="17" t="n">
        <v>48</v>
      </c>
      <c r="B51" s="17" t="n"/>
      <c r="C51" s="18" t="n"/>
      <c r="D51" s="18" t="n"/>
      <c r="E51" s="19" t="n"/>
      <c r="F51" s="19" t="n"/>
      <c r="G51" s="19" t="n"/>
      <c r="H51" s="17" t="n"/>
      <c r="I51" s="18" t="n"/>
      <c r="J51" s="17" t="n"/>
      <c r="K51" s="19">
        <f>IF(G51&lt;&gt;"",G51+3,"")</f>
        <v/>
      </c>
      <c r="L51" s="17" t="n"/>
      <c r="M51" s="19">
        <f>IF(G51&lt;&gt;"",G51+6,"")</f>
        <v/>
      </c>
      <c r="N51" s="17" t="n"/>
      <c r="O51" s="17" t="n"/>
      <c r="P51" s="18" t="n"/>
    </row>
    <row r="52" ht="24" customHeight="1">
      <c r="A52" s="4" t="n">
        <v>49</v>
      </c>
      <c r="B52" s="4" t="n"/>
      <c r="C52" s="5" t="n"/>
      <c r="D52" s="5" t="n"/>
      <c r="E52" s="7" t="n"/>
      <c r="F52" s="7" t="n"/>
      <c r="G52" s="7" t="n"/>
      <c r="H52" s="4" t="n"/>
      <c r="I52" s="5" t="n"/>
      <c r="J52" s="4" t="n"/>
      <c r="K52" s="7">
        <f>IF(G52&lt;&gt;"",G52+3,"")</f>
        <v/>
      </c>
      <c r="L52" s="4" t="n"/>
      <c r="M52" s="7">
        <f>IF(G52&lt;&gt;"",G52+6,"")</f>
        <v/>
      </c>
      <c r="N52" s="4" t="n"/>
      <c r="O52" s="4" t="n"/>
      <c r="P52" s="5" t="n"/>
    </row>
    <row r="53" ht="24" customHeight="1">
      <c r="A53" s="17" t="n">
        <v>50</v>
      </c>
      <c r="B53" s="17" t="n"/>
      <c r="C53" s="18" t="n"/>
      <c r="D53" s="18" t="n"/>
      <c r="E53" s="19" t="n"/>
      <c r="F53" s="19" t="n"/>
      <c r="G53" s="19" t="n"/>
      <c r="H53" s="17" t="n"/>
      <c r="I53" s="18" t="n"/>
      <c r="J53" s="17" t="n"/>
      <c r="K53" s="19">
        <f>IF(G53&lt;&gt;"",G53+3,"")</f>
        <v/>
      </c>
      <c r="L53" s="17" t="n"/>
      <c r="M53" s="19">
        <f>IF(G53&lt;&gt;"",G53+6,"")</f>
        <v/>
      </c>
      <c r="N53" s="17" t="n"/>
      <c r="O53" s="17" t="n"/>
      <c r="P53" s="18" t="n"/>
    </row>
    <row r="54" ht="24" customHeight="1">
      <c r="A54" s="4" t="n">
        <v>51</v>
      </c>
      <c r="B54" s="4" t="n"/>
      <c r="C54" s="5" t="n"/>
      <c r="D54" s="5" t="n"/>
      <c r="E54" s="7" t="n"/>
      <c r="F54" s="7" t="n"/>
      <c r="G54" s="7" t="n"/>
      <c r="H54" s="4" t="n"/>
      <c r="I54" s="5" t="n"/>
      <c r="J54" s="4" t="n"/>
      <c r="K54" s="7">
        <f>IF(G54&lt;&gt;"",G54+3,"")</f>
        <v/>
      </c>
      <c r="L54" s="4" t="n"/>
      <c r="M54" s="7">
        <f>IF(G54&lt;&gt;"",G54+6,"")</f>
        <v/>
      </c>
      <c r="N54" s="4" t="n"/>
      <c r="O54" s="4" t="n"/>
      <c r="P54" s="5" t="n"/>
    </row>
    <row r="55" ht="24" customHeight="1">
      <c r="A55" s="17" t="n">
        <v>52</v>
      </c>
      <c r="B55" s="17" t="n"/>
      <c r="C55" s="18" t="n"/>
      <c r="D55" s="18" t="n"/>
      <c r="E55" s="19" t="n"/>
      <c r="F55" s="19" t="n"/>
      <c r="G55" s="19" t="n"/>
      <c r="H55" s="17" t="n"/>
      <c r="I55" s="18" t="n"/>
      <c r="J55" s="17" t="n"/>
      <c r="K55" s="19">
        <f>IF(G55&lt;&gt;"",G55+3,"")</f>
        <v/>
      </c>
      <c r="L55" s="17" t="n"/>
      <c r="M55" s="19">
        <f>IF(G55&lt;&gt;"",G55+6,"")</f>
        <v/>
      </c>
      <c r="N55" s="17" t="n"/>
      <c r="O55" s="17" t="n"/>
      <c r="P55" s="18" t="n"/>
    </row>
    <row r="56" ht="24" customHeight="1">
      <c r="A56" s="4" t="n">
        <v>53</v>
      </c>
      <c r="B56" s="4" t="n"/>
      <c r="C56" s="5" t="n"/>
      <c r="D56" s="5" t="n"/>
      <c r="E56" s="7" t="n"/>
      <c r="F56" s="7" t="n"/>
      <c r="G56" s="7" t="n"/>
      <c r="H56" s="4" t="n"/>
      <c r="I56" s="5" t="n"/>
      <c r="J56" s="4" t="n"/>
      <c r="K56" s="7">
        <f>IF(G56&lt;&gt;"",G56+3,"")</f>
        <v/>
      </c>
      <c r="L56" s="4" t="n"/>
      <c r="M56" s="7">
        <f>IF(G56&lt;&gt;"",G56+6,"")</f>
        <v/>
      </c>
      <c r="N56" s="4" t="n"/>
      <c r="O56" s="4" t="n"/>
      <c r="P56" s="5" t="n"/>
    </row>
    <row r="57" ht="24" customHeight="1">
      <c r="A57" s="17" t="n">
        <v>54</v>
      </c>
      <c r="B57" s="17" t="n"/>
      <c r="C57" s="18" t="n"/>
      <c r="D57" s="18" t="n"/>
      <c r="E57" s="19" t="n"/>
      <c r="F57" s="19" t="n"/>
      <c r="G57" s="19" t="n"/>
      <c r="H57" s="17" t="n"/>
      <c r="I57" s="18" t="n"/>
      <c r="J57" s="17" t="n"/>
      <c r="K57" s="19">
        <f>IF(G57&lt;&gt;"",G57+3,"")</f>
        <v/>
      </c>
      <c r="L57" s="17" t="n"/>
      <c r="M57" s="19">
        <f>IF(G57&lt;&gt;"",G57+6,"")</f>
        <v/>
      </c>
      <c r="N57" s="17" t="n"/>
      <c r="O57" s="17" t="n"/>
      <c r="P57" s="18" t="n"/>
    </row>
    <row r="58" ht="24" customHeight="1">
      <c r="A58" s="4" t="n">
        <v>55</v>
      </c>
      <c r="B58" s="4" t="n"/>
      <c r="C58" s="5" t="n"/>
      <c r="D58" s="5" t="n"/>
      <c r="E58" s="7" t="n"/>
      <c r="F58" s="7" t="n"/>
      <c r="G58" s="7" t="n"/>
      <c r="H58" s="4" t="n"/>
      <c r="I58" s="5" t="n"/>
      <c r="J58" s="4" t="n"/>
      <c r="K58" s="7">
        <f>IF(G58&lt;&gt;"",G58+3,"")</f>
        <v/>
      </c>
      <c r="L58" s="4" t="n"/>
      <c r="M58" s="7">
        <f>IF(G58&lt;&gt;"",G58+6,"")</f>
        <v/>
      </c>
      <c r="N58" s="4" t="n"/>
      <c r="O58" s="4" t="n"/>
      <c r="P58" s="5" t="n"/>
    </row>
    <row r="59" ht="24" customHeight="1">
      <c r="A59" s="17" t="n">
        <v>56</v>
      </c>
      <c r="B59" s="17" t="n"/>
      <c r="C59" s="18" t="n"/>
      <c r="D59" s="18" t="n"/>
      <c r="E59" s="19" t="n"/>
      <c r="F59" s="19" t="n"/>
      <c r="G59" s="19" t="n"/>
      <c r="H59" s="17" t="n"/>
      <c r="I59" s="18" t="n"/>
      <c r="J59" s="17" t="n"/>
      <c r="K59" s="19">
        <f>IF(G59&lt;&gt;"",G59+3,"")</f>
        <v/>
      </c>
      <c r="L59" s="17" t="n"/>
      <c r="M59" s="19">
        <f>IF(G59&lt;&gt;"",G59+6,"")</f>
        <v/>
      </c>
      <c r="N59" s="17" t="n"/>
      <c r="O59" s="17" t="n"/>
      <c r="P59" s="18" t="n"/>
    </row>
    <row r="60" ht="24" customHeight="1">
      <c r="A60" s="4" t="n">
        <v>57</v>
      </c>
      <c r="B60" s="4" t="n"/>
      <c r="C60" s="5" t="n"/>
      <c r="D60" s="5" t="n"/>
      <c r="E60" s="7" t="n"/>
      <c r="F60" s="7" t="n"/>
      <c r="G60" s="7" t="n"/>
      <c r="H60" s="4" t="n"/>
      <c r="I60" s="5" t="n"/>
      <c r="J60" s="4" t="n"/>
      <c r="K60" s="7">
        <f>IF(G60&lt;&gt;"",G60+3,"")</f>
        <v/>
      </c>
      <c r="L60" s="4" t="n"/>
      <c r="M60" s="7">
        <f>IF(G60&lt;&gt;"",G60+6,"")</f>
        <v/>
      </c>
      <c r="N60" s="4" t="n"/>
      <c r="O60" s="4" t="n"/>
      <c r="P60" s="5" t="n"/>
    </row>
    <row r="61" ht="24" customHeight="1">
      <c r="A61" s="17" t="n">
        <v>58</v>
      </c>
      <c r="B61" s="17" t="n"/>
      <c r="C61" s="18" t="n"/>
      <c r="D61" s="18" t="n"/>
      <c r="E61" s="19" t="n"/>
      <c r="F61" s="19" t="n"/>
      <c r="G61" s="19" t="n"/>
      <c r="H61" s="17" t="n"/>
      <c r="I61" s="18" t="n"/>
      <c r="J61" s="17" t="n"/>
      <c r="K61" s="19">
        <f>IF(G61&lt;&gt;"",G61+3,"")</f>
        <v/>
      </c>
      <c r="L61" s="17" t="n"/>
      <c r="M61" s="19">
        <f>IF(G61&lt;&gt;"",G61+6,"")</f>
        <v/>
      </c>
      <c r="N61" s="17" t="n"/>
      <c r="O61" s="17" t="n"/>
      <c r="P61" s="18" t="n"/>
    </row>
    <row r="62" ht="24" customHeight="1">
      <c r="A62" s="4" t="n">
        <v>59</v>
      </c>
      <c r="B62" s="4" t="n"/>
      <c r="C62" s="5" t="n"/>
      <c r="D62" s="5" t="n"/>
      <c r="E62" s="7" t="n"/>
      <c r="F62" s="7" t="n"/>
      <c r="G62" s="7" t="n"/>
      <c r="H62" s="4" t="n"/>
      <c r="I62" s="5" t="n"/>
      <c r="J62" s="4" t="n"/>
      <c r="K62" s="7">
        <f>IF(G62&lt;&gt;"",G62+3,"")</f>
        <v/>
      </c>
      <c r="L62" s="4" t="n"/>
      <c r="M62" s="7">
        <f>IF(G62&lt;&gt;"",G62+6,"")</f>
        <v/>
      </c>
      <c r="N62" s="4" t="n"/>
      <c r="O62" s="4" t="n"/>
      <c r="P62" s="5" t="n"/>
    </row>
    <row r="63" ht="24" customHeight="1">
      <c r="A63" s="17" t="n">
        <v>60</v>
      </c>
      <c r="B63" s="17" t="n"/>
      <c r="C63" s="18" t="n"/>
      <c r="D63" s="18" t="n"/>
      <c r="E63" s="19" t="n"/>
      <c r="F63" s="19" t="n"/>
      <c r="G63" s="19" t="n"/>
      <c r="H63" s="17" t="n"/>
      <c r="I63" s="18" t="n"/>
      <c r="J63" s="17" t="n"/>
      <c r="K63" s="19">
        <f>IF(G63&lt;&gt;"",G63+3,"")</f>
        <v/>
      </c>
      <c r="L63" s="17" t="n"/>
      <c r="M63" s="19">
        <f>IF(G63&lt;&gt;"",G63+6,"")</f>
        <v/>
      </c>
      <c r="N63" s="17" t="n"/>
      <c r="O63" s="17" t="n"/>
      <c r="P63" s="18" t="n"/>
    </row>
    <row r="64" ht="24" customHeight="1">
      <c r="A64" s="4" t="n">
        <v>61</v>
      </c>
      <c r="B64" s="4" t="n"/>
      <c r="C64" s="5" t="n"/>
      <c r="D64" s="5" t="n"/>
      <c r="E64" s="7" t="n"/>
      <c r="F64" s="7" t="n"/>
      <c r="G64" s="7" t="n"/>
      <c r="H64" s="4" t="n"/>
      <c r="I64" s="5" t="n"/>
      <c r="J64" s="4" t="n"/>
      <c r="K64" s="7">
        <f>IF(G64&lt;&gt;"",G64+3,"")</f>
        <v/>
      </c>
      <c r="L64" s="4" t="n"/>
      <c r="M64" s="7">
        <f>IF(G64&lt;&gt;"",G64+6,"")</f>
        <v/>
      </c>
      <c r="N64" s="4" t="n"/>
      <c r="O64" s="4" t="n"/>
      <c r="P64" s="5" t="n"/>
    </row>
    <row r="65" ht="24" customHeight="1">
      <c r="A65" s="17" t="n">
        <v>62</v>
      </c>
      <c r="B65" s="17" t="n"/>
      <c r="C65" s="18" t="n"/>
      <c r="D65" s="18" t="n"/>
      <c r="E65" s="19" t="n"/>
      <c r="F65" s="19" t="n"/>
      <c r="G65" s="19" t="n"/>
      <c r="H65" s="17" t="n"/>
      <c r="I65" s="18" t="n"/>
      <c r="J65" s="17" t="n"/>
      <c r="K65" s="19">
        <f>IF(G65&lt;&gt;"",G65+3,"")</f>
        <v/>
      </c>
      <c r="L65" s="17" t="n"/>
      <c r="M65" s="19">
        <f>IF(G65&lt;&gt;"",G65+6,"")</f>
        <v/>
      </c>
      <c r="N65" s="17" t="n"/>
      <c r="O65" s="17" t="n"/>
      <c r="P65" s="18" t="n"/>
    </row>
    <row r="66" ht="24" customHeight="1">
      <c r="A66" s="4" t="n">
        <v>63</v>
      </c>
      <c r="B66" s="4" t="n"/>
      <c r="C66" s="5" t="n"/>
      <c r="D66" s="5" t="n"/>
      <c r="E66" s="7" t="n"/>
      <c r="F66" s="7" t="n"/>
      <c r="G66" s="7" t="n"/>
      <c r="H66" s="4" t="n"/>
      <c r="I66" s="5" t="n"/>
      <c r="J66" s="4" t="n"/>
      <c r="K66" s="7">
        <f>IF(G66&lt;&gt;"",G66+3,"")</f>
        <v/>
      </c>
      <c r="L66" s="4" t="n"/>
      <c r="M66" s="7">
        <f>IF(G66&lt;&gt;"",G66+6,"")</f>
        <v/>
      </c>
      <c r="N66" s="4" t="n"/>
      <c r="O66" s="4" t="n"/>
      <c r="P66" s="5" t="n"/>
    </row>
    <row r="67" ht="24" customHeight="1">
      <c r="A67" s="17" t="n">
        <v>64</v>
      </c>
      <c r="B67" s="17" t="n"/>
      <c r="C67" s="18" t="n"/>
      <c r="D67" s="18" t="n"/>
      <c r="E67" s="19" t="n"/>
      <c r="F67" s="19" t="n"/>
      <c r="G67" s="19" t="n"/>
      <c r="H67" s="17" t="n"/>
      <c r="I67" s="18" t="n"/>
      <c r="J67" s="17" t="n"/>
      <c r="K67" s="19">
        <f>IF(G67&lt;&gt;"",G67+3,"")</f>
        <v/>
      </c>
      <c r="L67" s="17" t="n"/>
      <c r="M67" s="19">
        <f>IF(G67&lt;&gt;"",G67+6,"")</f>
        <v/>
      </c>
      <c r="N67" s="17" t="n"/>
      <c r="O67" s="17" t="n"/>
      <c r="P67" s="18" t="n"/>
    </row>
    <row r="68" ht="24" customHeight="1">
      <c r="A68" s="4" t="n">
        <v>65</v>
      </c>
      <c r="B68" s="4" t="n"/>
      <c r="C68" s="5" t="n"/>
      <c r="D68" s="5" t="n"/>
      <c r="E68" s="7" t="n"/>
      <c r="F68" s="7" t="n"/>
      <c r="G68" s="7" t="n"/>
      <c r="H68" s="4" t="n"/>
      <c r="I68" s="5" t="n"/>
      <c r="J68" s="4" t="n"/>
      <c r="K68" s="7">
        <f>IF(G68&lt;&gt;"",G68+3,"")</f>
        <v/>
      </c>
      <c r="L68" s="4" t="n"/>
      <c r="M68" s="7">
        <f>IF(G68&lt;&gt;"",G68+6,"")</f>
        <v/>
      </c>
      <c r="N68" s="4" t="n"/>
      <c r="O68" s="4" t="n"/>
      <c r="P68" s="5" t="n"/>
    </row>
    <row r="69" ht="24" customHeight="1">
      <c r="A69" s="17" t="n">
        <v>66</v>
      </c>
      <c r="B69" s="17" t="n"/>
      <c r="C69" s="18" t="n"/>
      <c r="D69" s="18" t="n"/>
      <c r="E69" s="19" t="n"/>
      <c r="F69" s="19" t="n"/>
      <c r="G69" s="19" t="n"/>
      <c r="H69" s="17" t="n"/>
      <c r="I69" s="18" t="n"/>
      <c r="J69" s="17" t="n"/>
      <c r="K69" s="19">
        <f>IF(G69&lt;&gt;"",G69+3,"")</f>
        <v/>
      </c>
      <c r="L69" s="17" t="n"/>
      <c r="M69" s="19">
        <f>IF(G69&lt;&gt;"",G69+6,"")</f>
        <v/>
      </c>
      <c r="N69" s="17" t="n"/>
      <c r="O69" s="17" t="n"/>
      <c r="P69" s="18" t="n"/>
    </row>
    <row r="70" ht="24" customHeight="1">
      <c r="A70" s="4" t="n">
        <v>67</v>
      </c>
      <c r="B70" s="4" t="n"/>
      <c r="C70" s="5" t="n"/>
      <c r="D70" s="5" t="n"/>
      <c r="E70" s="7" t="n"/>
      <c r="F70" s="7" t="n"/>
      <c r="G70" s="7" t="n"/>
      <c r="H70" s="4" t="n"/>
      <c r="I70" s="5" t="n"/>
      <c r="J70" s="4" t="n"/>
      <c r="K70" s="7">
        <f>IF(G70&lt;&gt;"",G70+3,"")</f>
        <v/>
      </c>
      <c r="L70" s="4" t="n"/>
      <c r="M70" s="7">
        <f>IF(G70&lt;&gt;"",G70+6,"")</f>
        <v/>
      </c>
      <c r="N70" s="4" t="n"/>
      <c r="O70" s="4" t="n"/>
      <c r="P70" s="5" t="n"/>
    </row>
    <row r="71" ht="24" customHeight="1">
      <c r="A71" s="17" t="n">
        <v>68</v>
      </c>
      <c r="B71" s="17" t="n"/>
      <c r="C71" s="18" t="n"/>
      <c r="D71" s="18" t="n"/>
      <c r="E71" s="19" t="n"/>
      <c r="F71" s="19" t="n"/>
      <c r="G71" s="19" t="n"/>
      <c r="H71" s="17" t="n"/>
      <c r="I71" s="18" t="n"/>
      <c r="J71" s="17" t="n"/>
      <c r="K71" s="19">
        <f>IF(G71&lt;&gt;"",G71+3,"")</f>
        <v/>
      </c>
      <c r="L71" s="17" t="n"/>
      <c r="M71" s="19">
        <f>IF(G71&lt;&gt;"",G71+6,"")</f>
        <v/>
      </c>
      <c r="N71" s="17" t="n"/>
      <c r="O71" s="17" t="n"/>
      <c r="P71" s="18" t="n"/>
    </row>
    <row r="72" ht="24" customHeight="1">
      <c r="A72" s="4" t="n">
        <v>69</v>
      </c>
      <c r="B72" s="4" t="n"/>
      <c r="C72" s="5" t="n"/>
      <c r="D72" s="5" t="n"/>
      <c r="E72" s="7" t="n"/>
      <c r="F72" s="7" t="n"/>
      <c r="G72" s="7" t="n"/>
      <c r="H72" s="4" t="n"/>
      <c r="I72" s="5" t="n"/>
      <c r="J72" s="4" t="n"/>
      <c r="K72" s="7">
        <f>IF(G72&lt;&gt;"",G72+3,"")</f>
        <v/>
      </c>
      <c r="L72" s="4" t="n"/>
      <c r="M72" s="7">
        <f>IF(G72&lt;&gt;"",G72+6,"")</f>
        <v/>
      </c>
      <c r="N72" s="4" t="n"/>
      <c r="O72" s="4" t="n"/>
      <c r="P72" s="5" t="n"/>
    </row>
    <row r="73" ht="24" customHeight="1">
      <c r="A73" s="17" t="n">
        <v>70</v>
      </c>
      <c r="B73" s="17" t="n"/>
      <c r="C73" s="18" t="n"/>
      <c r="D73" s="18" t="n"/>
      <c r="E73" s="19" t="n"/>
      <c r="F73" s="19" t="n"/>
      <c r="G73" s="19" t="n"/>
      <c r="H73" s="17" t="n"/>
      <c r="I73" s="18" t="n"/>
      <c r="J73" s="17" t="n"/>
      <c r="K73" s="19">
        <f>IF(G73&lt;&gt;"",G73+3,"")</f>
        <v/>
      </c>
      <c r="L73" s="17" t="n"/>
      <c r="M73" s="19">
        <f>IF(G73&lt;&gt;"",G73+6,"")</f>
        <v/>
      </c>
      <c r="N73" s="17" t="n"/>
      <c r="O73" s="17" t="n"/>
      <c r="P73" s="18" t="n"/>
    </row>
    <row r="74" ht="24" customHeight="1">
      <c r="A74" s="4" t="n">
        <v>71</v>
      </c>
      <c r="B74" s="4" t="n"/>
      <c r="C74" s="5" t="n"/>
      <c r="D74" s="5" t="n"/>
      <c r="E74" s="7" t="n"/>
      <c r="F74" s="7" t="n"/>
      <c r="G74" s="7" t="n"/>
      <c r="H74" s="4" t="n"/>
      <c r="I74" s="5" t="n"/>
      <c r="J74" s="4" t="n"/>
      <c r="K74" s="7">
        <f>IF(G74&lt;&gt;"",G74+3,"")</f>
        <v/>
      </c>
      <c r="L74" s="4" t="n"/>
      <c r="M74" s="7">
        <f>IF(G74&lt;&gt;"",G74+6,"")</f>
        <v/>
      </c>
      <c r="N74" s="4" t="n"/>
      <c r="O74" s="4" t="n"/>
      <c r="P74" s="5" t="n"/>
    </row>
    <row r="75" ht="24" customHeight="1">
      <c r="A75" s="17" t="n">
        <v>72</v>
      </c>
      <c r="B75" s="17" t="n"/>
      <c r="C75" s="18" t="n"/>
      <c r="D75" s="18" t="n"/>
      <c r="E75" s="19" t="n"/>
      <c r="F75" s="19" t="n"/>
      <c r="G75" s="19" t="n"/>
      <c r="H75" s="17" t="n"/>
      <c r="I75" s="18" t="n"/>
      <c r="J75" s="17" t="n"/>
      <c r="K75" s="19">
        <f>IF(G75&lt;&gt;"",G75+3,"")</f>
        <v/>
      </c>
      <c r="L75" s="17" t="n"/>
      <c r="M75" s="19">
        <f>IF(G75&lt;&gt;"",G75+6,"")</f>
        <v/>
      </c>
      <c r="N75" s="17" t="n"/>
      <c r="O75" s="17" t="n"/>
      <c r="P75" s="18" t="n"/>
    </row>
    <row r="76" ht="24" customHeight="1">
      <c r="A76" s="4" t="n">
        <v>73</v>
      </c>
      <c r="B76" s="4" t="n"/>
      <c r="C76" s="5" t="n"/>
      <c r="D76" s="5" t="n"/>
      <c r="E76" s="7" t="n"/>
      <c r="F76" s="7" t="n"/>
      <c r="G76" s="7" t="n"/>
      <c r="H76" s="4" t="n"/>
      <c r="I76" s="5" t="n"/>
      <c r="J76" s="4" t="n"/>
      <c r="K76" s="7">
        <f>IF(G76&lt;&gt;"",G76+3,"")</f>
        <v/>
      </c>
      <c r="L76" s="4" t="n"/>
      <c r="M76" s="7">
        <f>IF(G76&lt;&gt;"",G76+6,"")</f>
        <v/>
      </c>
      <c r="N76" s="4" t="n"/>
      <c r="O76" s="4" t="n"/>
      <c r="P76" s="5" t="n"/>
    </row>
    <row r="77" ht="24" customHeight="1">
      <c r="A77" s="17" t="n">
        <v>74</v>
      </c>
      <c r="B77" s="17" t="n"/>
      <c r="C77" s="18" t="n"/>
      <c r="D77" s="18" t="n"/>
      <c r="E77" s="19" t="n"/>
      <c r="F77" s="19" t="n"/>
      <c r="G77" s="19" t="n"/>
      <c r="H77" s="17" t="n"/>
      <c r="I77" s="18" t="n"/>
      <c r="J77" s="17" t="n"/>
      <c r="K77" s="19">
        <f>IF(G77&lt;&gt;"",G77+3,"")</f>
        <v/>
      </c>
      <c r="L77" s="17" t="n"/>
      <c r="M77" s="19">
        <f>IF(G77&lt;&gt;"",G77+6,"")</f>
        <v/>
      </c>
      <c r="N77" s="17" t="n"/>
      <c r="O77" s="17" t="n"/>
      <c r="P77" s="18" t="n"/>
    </row>
    <row r="78" ht="24" customHeight="1">
      <c r="A78" s="4" t="n">
        <v>75</v>
      </c>
      <c r="B78" s="4" t="n"/>
      <c r="C78" s="5" t="n"/>
      <c r="D78" s="5" t="n"/>
      <c r="E78" s="7" t="n"/>
      <c r="F78" s="7" t="n"/>
      <c r="G78" s="7" t="n"/>
      <c r="H78" s="4" t="n"/>
      <c r="I78" s="5" t="n"/>
      <c r="J78" s="4" t="n"/>
      <c r="K78" s="7">
        <f>IF(G78&lt;&gt;"",G78+3,"")</f>
        <v/>
      </c>
      <c r="L78" s="4" t="n"/>
      <c r="M78" s="7">
        <f>IF(G78&lt;&gt;"",G78+6,"")</f>
        <v/>
      </c>
      <c r="N78" s="4" t="n"/>
      <c r="O78" s="4" t="n"/>
      <c r="P78" s="5" t="n"/>
    </row>
    <row r="79" ht="24" customHeight="1">
      <c r="A79" s="17" t="n">
        <v>76</v>
      </c>
      <c r="B79" s="17" t="n"/>
      <c r="C79" s="18" t="n"/>
      <c r="D79" s="18" t="n"/>
      <c r="E79" s="19" t="n"/>
      <c r="F79" s="19" t="n"/>
      <c r="G79" s="19" t="n"/>
      <c r="H79" s="17" t="n"/>
      <c r="I79" s="18" t="n"/>
      <c r="J79" s="17" t="n"/>
      <c r="K79" s="19">
        <f>IF(G79&lt;&gt;"",G79+3,"")</f>
        <v/>
      </c>
      <c r="L79" s="17" t="n"/>
      <c r="M79" s="19">
        <f>IF(G79&lt;&gt;"",G79+6,"")</f>
        <v/>
      </c>
      <c r="N79" s="17" t="n"/>
      <c r="O79" s="17" t="n"/>
      <c r="P79" s="18" t="n"/>
    </row>
    <row r="80" ht="24" customHeight="1">
      <c r="A80" s="4" t="n">
        <v>77</v>
      </c>
      <c r="B80" s="4" t="n"/>
      <c r="C80" s="5" t="n"/>
      <c r="D80" s="5" t="n"/>
      <c r="E80" s="7" t="n"/>
      <c r="F80" s="7" t="n"/>
      <c r="G80" s="7" t="n"/>
      <c r="H80" s="4" t="n"/>
      <c r="I80" s="5" t="n"/>
      <c r="J80" s="4" t="n"/>
      <c r="K80" s="7">
        <f>IF(G80&lt;&gt;"",G80+3,"")</f>
        <v/>
      </c>
      <c r="L80" s="4" t="n"/>
      <c r="M80" s="7">
        <f>IF(G80&lt;&gt;"",G80+6,"")</f>
        <v/>
      </c>
      <c r="N80" s="4" t="n"/>
      <c r="O80" s="4" t="n"/>
      <c r="P80" s="5" t="n"/>
    </row>
    <row r="81" ht="24" customHeight="1">
      <c r="A81" s="17" t="n">
        <v>78</v>
      </c>
      <c r="B81" s="17" t="n"/>
      <c r="C81" s="18" t="n"/>
      <c r="D81" s="18" t="n"/>
      <c r="E81" s="19" t="n"/>
      <c r="F81" s="19" t="n"/>
      <c r="G81" s="19" t="n"/>
      <c r="H81" s="17" t="n"/>
      <c r="I81" s="18" t="n"/>
      <c r="J81" s="17" t="n"/>
      <c r="K81" s="19">
        <f>IF(G81&lt;&gt;"",G81+3,"")</f>
        <v/>
      </c>
      <c r="L81" s="17" t="n"/>
      <c r="M81" s="19">
        <f>IF(G81&lt;&gt;"",G81+6,"")</f>
        <v/>
      </c>
      <c r="N81" s="17" t="n"/>
      <c r="O81" s="17" t="n"/>
      <c r="P81" s="18" t="n"/>
    </row>
    <row r="82" ht="24" customHeight="1">
      <c r="A82" s="4" t="n">
        <v>79</v>
      </c>
      <c r="B82" s="4" t="n"/>
      <c r="C82" s="5" t="n"/>
      <c r="D82" s="5" t="n"/>
      <c r="E82" s="7" t="n"/>
      <c r="F82" s="7" t="n"/>
      <c r="G82" s="7" t="n"/>
      <c r="H82" s="4" t="n"/>
      <c r="I82" s="5" t="n"/>
      <c r="J82" s="4" t="n"/>
      <c r="K82" s="7">
        <f>IF(G82&lt;&gt;"",G82+3,"")</f>
        <v/>
      </c>
      <c r="L82" s="4" t="n"/>
      <c r="M82" s="7">
        <f>IF(G82&lt;&gt;"",G82+6,"")</f>
        <v/>
      </c>
      <c r="N82" s="4" t="n"/>
      <c r="O82" s="4" t="n"/>
      <c r="P82" s="5" t="n"/>
    </row>
    <row r="83" ht="24" customHeight="1">
      <c r="A83" s="17" t="n">
        <v>80</v>
      </c>
      <c r="B83" s="17" t="n"/>
      <c r="C83" s="18" t="n"/>
      <c r="D83" s="18" t="n"/>
      <c r="E83" s="19" t="n"/>
      <c r="F83" s="19" t="n"/>
      <c r="G83" s="19" t="n"/>
      <c r="H83" s="17" t="n"/>
      <c r="I83" s="18" t="n"/>
      <c r="J83" s="17" t="n"/>
      <c r="K83" s="19">
        <f>IF(G83&lt;&gt;"",G83+3,"")</f>
        <v/>
      </c>
      <c r="L83" s="17" t="n"/>
      <c r="M83" s="19">
        <f>IF(G83&lt;&gt;"",G83+6,"")</f>
        <v/>
      </c>
      <c r="N83" s="17" t="n"/>
      <c r="O83" s="17" t="n"/>
      <c r="P83" s="18" t="n"/>
    </row>
    <row r="84" ht="24" customHeight="1">
      <c r="A84" s="4" t="n">
        <v>81</v>
      </c>
      <c r="B84" s="4" t="n"/>
      <c r="C84" s="5" t="n"/>
      <c r="D84" s="5" t="n"/>
      <c r="E84" s="7" t="n"/>
      <c r="F84" s="7" t="n"/>
      <c r="G84" s="7" t="n"/>
      <c r="H84" s="4" t="n"/>
      <c r="I84" s="5" t="n"/>
      <c r="J84" s="4" t="n"/>
      <c r="K84" s="7">
        <f>IF(G84&lt;&gt;"",G84+3,"")</f>
        <v/>
      </c>
      <c r="L84" s="4" t="n"/>
      <c r="M84" s="7">
        <f>IF(G84&lt;&gt;"",G84+6,"")</f>
        <v/>
      </c>
      <c r="N84" s="4" t="n"/>
      <c r="O84" s="4" t="n"/>
      <c r="P84" s="5" t="n"/>
    </row>
    <row r="85" ht="24" customHeight="1">
      <c r="A85" s="17" t="n">
        <v>82</v>
      </c>
      <c r="B85" s="17" t="n"/>
      <c r="C85" s="18" t="n"/>
      <c r="D85" s="18" t="n"/>
      <c r="E85" s="19" t="n"/>
      <c r="F85" s="19" t="n"/>
      <c r="G85" s="19" t="n"/>
      <c r="H85" s="17" t="n"/>
      <c r="I85" s="18" t="n"/>
      <c r="J85" s="17" t="n"/>
      <c r="K85" s="19">
        <f>IF(G85&lt;&gt;"",G85+3,"")</f>
        <v/>
      </c>
      <c r="L85" s="17" t="n"/>
      <c r="M85" s="19">
        <f>IF(G85&lt;&gt;"",G85+6,"")</f>
        <v/>
      </c>
      <c r="N85" s="17" t="n"/>
      <c r="O85" s="17" t="n"/>
      <c r="P85" s="18" t="n"/>
    </row>
    <row r="86" ht="24" customHeight="1">
      <c r="A86" s="4" t="n">
        <v>83</v>
      </c>
      <c r="B86" s="4" t="n"/>
      <c r="C86" s="5" t="n"/>
      <c r="D86" s="5" t="n"/>
      <c r="E86" s="7" t="n"/>
      <c r="F86" s="7" t="n"/>
      <c r="G86" s="7" t="n"/>
      <c r="H86" s="4" t="n"/>
      <c r="I86" s="5" t="n"/>
      <c r="J86" s="4" t="n"/>
      <c r="K86" s="7">
        <f>IF(G86&lt;&gt;"",G86+3,"")</f>
        <v/>
      </c>
      <c r="L86" s="4" t="n"/>
      <c r="M86" s="7">
        <f>IF(G86&lt;&gt;"",G86+6,"")</f>
        <v/>
      </c>
      <c r="N86" s="4" t="n"/>
      <c r="O86" s="4" t="n"/>
      <c r="P86" s="5" t="n"/>
    </row>
    <row r="87" ht="24" customHeight="1">
      <c r="A87" s="17" t="n">
        <v>84</v>
      </c>
      <c r="B87" s="17" t="n"/>
      <c r="C87" s="18" t="n"/>
      <c r="D87" s="18" t="n"/>
      <c r="E87" s="19" t="n"/>
      <c r="F87" s="19" t="n"/>
      <c r="G87" s="19" t="n"/>
      <c r="H87" s="17" t="n"/>
      <c r="I87" s="18" t="n"/>
      <c r="J87" s="17" t="n"/>
      <c r="K87" s="19">
        <f>IF(G87&lt;&gt;"",G87+3,"")</f>
        <v/>
      </c>
      <c r="L87" s="17" t="n"/>
      <c r="M87" s="19">
        <f>IF(G87&lt;&gt;"",G87+6,"")</f>
        <v/>
      </c>
      <c r="N87" s="17" t="n"/>
      <c r="O87" s="17" t="n"/>
      <c r="P87" s="18" t="n"/>
    </row>
    <row r="88" ht="24" customHeight="1">
      <c r="A88" s="4" t="n">
        <v>85</v>
      </c>
      <c r="B88" s="4" t="n"/>
      <c r="C88" s="5" t="n"/>
      <c r="D88" s="5" t="n"/>
      <c r="E88" s="7" t="n"/>
      <c r="F88" s="7" t="n"/>
      <c r="G88" s="7" t="n"/>
      <c r="H88" s="4" t="n"/>
      <c r="I88" s="5" t="n"/>
      <c r="J88" s="4" t="n"/>
      <c r="K88" s="7">
        <f>IF(G88&lt;&gt;"",G88+3,"")</f>
        <v/>
      </c>
      <c r="L88" s="4" t="n"/>
      <c r="M88" s="7">
        <f>IF(G88&lt;&gt;"",G88+6,"")</f>
        <v/>
      </c>
      <c r="N88" s="4" t="n"/>
      <c r="O88" s="4" t="n"/>
      <c r="P88" s="5" t="n"/>
    </row>
    <row r="89" ht="24" customHeight="1">
      <c r="A89" s="17" t="n">
        <v>86</v>
      </c>
      <c r="B89" s="17" t="n"/>
      <c r="C89" s="18" t="n"/>
      <c r="D89" s="18" t="n"/>
      <c r="E89" s="19" t="n"/>
      <c r="F89" s="19" t="n"/>
      <c r="G89" s="19" t="n"/>
      <c r="H89" s="17" t="n"/>
      <c r="I89" s="18" t="n"/>
      <c r="J89" s="17" t="n"/>
      <c r="K89" s="19">
        <f>IF(G89&lt;&gt;"",G89+3,"")</f>
        <v/>
      </c>
      <c r="L89" s="17" t="n"/>
      <c r="M89" s="19">
        <f>IF(G89&lt;&gt;"",G89+6,"")</f>
        <v/>
      </c>
      <c r="N89" s="17" t="n"/>
      <c r="O89" s="17" t="n"/>
      <c r="P89" s="18" t="n"/>
    </row>
    <row r="90" ht="24" customHeight="1">
      <c r="A90" s="4" t="n">
        <v>87</v>
      </c>
      <c r="B90" s="4" t="n"/>
      <c r="C90" s="5" t="n"/>
      <c r="D90" s="5" t="n"/>
      <c r="E90" s="7" t="n"/>
      <c r="F90" s="7" t="n"/>
      <c r="G90" s="7" t="n"/>
      <c r="H90" s="4" t="n"/>
      <c r="I90" s="5" t="n"/>
      <c r="J90" s="4" t="n"/>
      <c r="K90" s="7">
        <f>IF(G90&lt;&gt;"",G90+3,"")</f>
        <v/>
      </c>
      <c r="L90" s="4" t="n"/>
      <c r="M90" s="7">
        <f>IF(G90&lt;&gt;"",G90+6,"")</f>
        <v/>
      </c>
      <c r="N90" s="4" t="n"/>
      <c r="O90" s="4" t="n"/>
      <c r="P90" s="5" t="n"/>
    </row>
    <row r="91" ht="24" customHeight="1">
      <c r="A91" s="17" t="n">
        <v>88</v>
      </c>
      <c r="B91" s="17" t="n"/>
      <c r="C91" s="18" t="n"/>
      <c r="D91" s="18" t="n"/>
      <c r="E91" s="19" t="n"/>
      <c r="F91" s="19" t="n"/>
      <c r="G91" s="19" t="n"/>
      <c r="H91" s="17" t="n"/>
      <c r="I91" s="18" t="n"/>
      <c r="J91" s="17" t="n"/>
      <c r="K91" s="19">
        <f>IF(G91&lt;&gt;"",G91+3,"")</f>
        <v/>
      </c>
      <c r="L91" s="17" t="n"/>
      <c r="M91" s="19">
        <f>IF(G91&lt;&gt;"",G91+6,"")</f>
        <v/>
      </c>
      <c r="N91" s="17" t="n"/>
      <c r="O91" s="17" t="n"/>
      <c r="P91" s="18" t="n"/>
    </row>
    <row r="92" ht="24" customHeight="1">
      <c r="A92" s="4" t="n">
        <v>89</v>
      </c>
      <c r="B92" s="4" t="n"/>
      <c r="C92" s="5" t="n"/>
      <c r="D92" s="5" t="n"/>
      <c r="E92" s="7" t="n"/>
      <c r="F92" s="7" t="n"/>
      <c r="G92" s="7" t="n"/>
      <c r="H92" s="4" t="n"/>
      <c r="I92" s="5" t="n"/>
      <c r="J92" s="4" t="n"/>
      <c r="K92" s="7">
        <f>IF(G92&lt;&gt;"",G92+3,"")</f>
        <v/>
      </c>
      <c r="L92" s="4" t="n"/>
      <c r="M92" s="7">
        <f>IF(G92&lt;&gt;"",G92+6,"")</f>
        <v/>
      </c>
      <c r="N92" s="4" t="n"/>
      <c r="O92" s="4" t="n"/>
      <c r="P92" s="5" t="n"/>
    </row>
    <row r="93" ht="24" customHeight="1">
      <c r="A93" s="17" t="n">
        <v>90</v>
      </c>
      <c r="B93" s="17" t="n"/>
      <c r="C93" s="18" t="n"/>
      <c r="D93" s="18" t="n"/>
      <c r="E93" s="19" t="n"/>
      <c r="F93" s="19" t="n"/>
      <c r="G93" s="19" t="n"/>
      <c r="H93" s="17" t="n"/>
      <c r="I93" s="18" t="n"/>
      <c r="J93" s="17" t="n"/>
      <c r="K93" s="19">
        <f>IF(G93&lt;&gt;"",G93+3,"")</f>
        <v/>
      </c>
      <c r="L93" s="17" t="n"/>
      <c r="M93" s="19">
        <f>IF(G93&lt;&gt;"",G93+6,"")</f>
        <v/>
      </c>
      <c r="N93" s="17" t="n"/>
      <c r="O93" s="17" t="n"/>
      <c r="P93" s="18" t="n"/>
    </row>
    <row r="94" ht="24" customHeight="1">
      <c r="A94" s="4" t="n">
        <v>91</v>
      </c>
      <c r="B94" s="4" t="n"/>
      <c r="C94" s="5" t="n"/>
      <c r="D94" s="5" t="n"/>
      <c r="E94" s="7" t="n"/>
      <c r="F94" s="7" t="n"/>
      <c r="G94" s="7" t="n"/>
      <c r="H94" s="4" t="n"/>
      <c r="I94" s="5" t="n"/>
      <c r="J94" s="4" t="n"/>
      <c r="K94" s="7">
        <f>IF(G94&lt;&gt;"",G94+3,"")</f>
        <v/>
      </c>
      <c r="L94" s="4" t="n"/>
      <c r="M94" s="7">
        <f>IF(G94&lt;&gt;"",G94+6,"")</f>
        <v/>
      </c>
      <c r="N94" s="4" t="n"/>
      <c r="O94" s="4" t="n"/>
      <c r="P94" s="5" t="n"/>
    </row>
    <row r="95" ht="24" customHeight="1">
      <c r="A95" s="17" t="n">
        <v>92</v>
      </c>
      <c r="B95" s="17" t="n"/>
      <c r="C95" s="18" t="n"/>
      <c r="D95" s="18" t="n"/>
      <c r="E95" s="19" t="n"/>
      <c r="F95" s="19" t="n"/>
      <c r="G95" s="19" t="n"/>
      <c r="H95" s="17" t="n"/>
      <c r="I95" s="18" t="n"/>
      <c r="J95" s="17" t="n"/>
      <c r="K95" s="19">
        <f>IF(G95&lt;&gt;"",G95+3,"")</f>
        <v/>
      </c>
      <c r="L95" s="17" t="n"/>
      <c r="M95" s="19">
        <f>IF(G95&lt;&gt;"",G95+6,"")</f>
        <v/>
      </c>
      <c r="N95" s="17" t="n"/>
      <c r="O95" s="17" t="n"/>
      <c r="P95" s="18" t="n"/>
    </row>
    <row r="96" ht="24" customHeight="1">
      <c r="A96" s="4" t="n">
        <v>93</v>
      </c>
      <c r="B96" s="4" t="n"/>
      <c r="C96" s="5" t="n"/>
      <c r="D96" s="5" t="n"/>
      <c r="E96" s="7" t="n"/>
      <c r="F96" s="7" t="n"/>
      <c r="G96" s="7" t="n"/>
      <c r="H96" s="4" t="n"/>
      <c r="I96" s="5" t="n"/>
      <c r="J96" s="4" t="n"/>
      <c r="K96" s="7">
        <f>IF(G96&lt;&gt;"",G96+3,"")</f>
        <v/>
      </c>
      <c r="L96" s="4" t="n"/>
      <c r="M96" s="7">
        <f>IF(G96&lt;&gt;"",G96+6,"")</f>
        <v/>
      </c>
      <c r="N96" s="4" t="n"/>
      <c r="O96" s="4" t="n"/>
      <c r="P96" s="5" t="n"/>
    </row>
    <row r="97" ht="24" customHeight="1">
      <c r="A97" s="17" t="n">
        <v>94</v>
      </c>
      <c r="B97" s="17" t="n"/>
      <c r="C97" s="18" t="n"/>
      <c r="D97" s="18" t="n"/>
      <c r="E97" s="19" t="n"/>
      <c r="F97" s="19" t="n"/>
      <c r="G97" s="19" t="n"/>
      <c r="H97" s="17" t="n"/>
      <c r="I97" s="18" t="n"/>
      <c r="J97" s="17" t="n"/>
      <c r="K97" s="19">
        <f>IF(G97&lt;&gt;"",G97+3,"")</f>
        <v/>
      </c>
      <c r="L97" s="17" t="n"/>
      <c r="M97" s="19">
        <f>IF(G97&lt;&gt;"",G97+6,"")</f>
        <v/>
      </c>
      <c r="N97" s="17" t="n"/>
      <c r="O97" s="17" t="n"/>
      <c r="P97" s="18" t="n"/>
    </row>
    <row r="98" ht="24" customHeight="1">
      <c r="A98" s="4" t="n">
        <v>95</v>
      </c>
      <c r="B98" s="4" t="n"/>
      <c r="C98" s="5" t="n"/>
      <c r="D98" s="5" t="n"/>
      <c r="E98" s="7" t="n"/>
      <c r="F98" s="7" t="n"/>
      <c r="G98" s="7" t="n"/>
      <c r="H98" s="4" t="n"/>
      <c r="I98" s="5" t="n"/>
      <c r="J98" s="4" t="n"/>
      <c r="K98" s="7">
        <f>IF(G98&lt;&gt;"",G98+3,"")</f>
        <v/>
      </c>
      <c r="L98" s="4" t="n"/>
      <c r="M98" s="7">
        <f>IF(G98&lt;&gt;"",G98+6,"")</f>
        <v/>
      </c>
      <c r="N98" s="4" t="n"/>
      <c r="O98" s="4" t="n"/>
      <c r="P98" s="5" t="n"/>
    </row>
    <row r="99" ht="24" customHeight="1">
      <c r="A99" s="17" t="n">
        <v>96</v>
      </c>
      <c r="B99" s="17" t="n"/>
      <c r="C99" s="18" t="n"/>
      <c r="D99" s="18" t="n"/>
      <c r="E99" s="19" t="n"/>
      <c r="F99" s="19" t="n"/>
      <c r="G99" s="19" t="n"/>
      <c r="H99" s="17" t="n"/>
      <c r="I99" s="18" t="n"/>
      <c r="J99" s="17" t="n"/>
      <c r="K99" s="19">
        <f>IF(G99&lt;&gt;"",G99+3,"")</f>
        <v/>
      </c>
      <c r="L99" s="17" t="n"/>
      <c r="M99" s="19">
        <f>IF(G99&lt;&gt;"",G99+6,"")</f>
        <v/>
      </c>
      <c r="N99" s="17" t="n"/>
      <c r="O99" s="17" t="n"/>
      <c r="P99" s="18" t="n"/>
    </row>
    <row r="100" ht="24" customHeight="1">
      <c r="A100" s="4" t="n">
        <v>97</v>
      </c>
      <c r="B100" s="4" t="n"/>
      <c r="C100" s="5" t="n"/>
      <c r="D100" s="5" t="n"/>
      <c r="E100" s="7" t="n"/>
      <c r="F100" s="7" t="n"/>
      <c r="G100" s="7" t="n"/>
      <c r="H100" s="4" t="n"/>
      <c r="I100" s="5" t="n"/>
      <c r="J100" s="4" t="n"/>
      <c r="K100" s="7">
        <f>IF(G100&lt;&gt;"",G100+3,"")</f>
        <v/>
      </c>
      <c r="L100" s="4" t="n"/>
      <c r="M100" s="7">
        <f>IF(G100&lt;&gt;"",G100+6,"")</f>
        <v/>
      </c>
      <c r="N100" s="4" t="n"/>
      <c r="O100" s="4" t="n"/>
      <c r="P100" s="5" t="n"/>
    </row>
    <row r="101" ht="24" customHeight="1">
      <c r="A101" s="17" t="n">
        <v>98</v>
      </c>
      <c r="B101" s="17" t="n"/>
      <c r="C101" s="18" t="n"/>
      <c r="D101" s="18" t="n"/>
      <c r="E101" s="19" t="n"/>
      <c r="F101" s="19" t="n"/>
      <c r="G101" s="19" t="n"/>
      <c r="H101" s="17" t="n"/>
      <c r="I101" s="18" t="n"/>
      <c r="J101" s="17" t="n"/>
      <c r="K101" s="19">
        <f>IF(G101&lt;&gt;"",G101+3,"")</f>
        <v/>
      </c>
      <c r="L101" s="17" t="n"/>
      <c r="M101" s="19">
        <f>IF(G101&lt;&gt;"",G101+6,"")</f>
        <v/>
      </c>
      <c r="N101" s="17" t="n"/>
      <c r="O101" s="17" t="n"/>
      <c r="P101" s="18" t="n"/>
    </row>
    <row r="102" ht="24" customHeight="1">
      <c r="A102" s="4" t="n">
        <v>99</v>
      </c>
      <c r="B102" s="4" t="n"/>
      <c r="C102" s="5" t="n"/>
      <c r="D102" s="5" t="n"/>
      <c r="E102" s="7" t="n"/>
      <c r="F102" s="7" t="n"/>
      <c r="G102" s="7" t="n"/>
      <c r="H102" s="4" t="n"/>
      <c r="I102" s="5" t="n"/>
      <c r="J102" s="4" t="n"/>
      <c r="K102" s="7">
        <f>IF(G102&lt;&gt;"",G102+3,"")</f>
        <v/>
      </c>
      <c r="L102" s="4" t="n"/>
      <c r="M102" s="7">
        <f>IF(G102&lt;&gt;"",G102+6,"")</f>
        <v/>
      </c>
      <c r="N102" s="4" t="n"/>
      <c r="O102" s="4" t="n"/>
      <c r="P102" s="5" t="n"/>
    </row>
    <row r="103" ht="24" customHeight="1">
      <c r="A103" s="17" t="n">
        <v>100</v>
      </c>
      <c r="B103" s="17" t="n"/>
      <c r="C103" s="18" t="n"/>
      <c r="D103" s="18" t="n"/>
      <c r="E103" s="19" t="n"/>
      <c r="F103" s="19" t="n"/>
      <c r="G103" s="19" t="n"/>
      <c r="H103" s="17" t="n"/>
      <c r="I103" s="18" t="n"/>
      <c r="J103" s="17" t="n"/>
      <c r="K103" s="19">
        <f>IF(G103&lt;&gt;"",G103+3,"")</f>
        <v/>
      </c>
      <c r="L103" s="17" t="n"/>
      <c r="M103" s="19">
        <f>IF(G103&lt;&gt;"",G103+6,"")</f>
        <v/>
      </c>
      <c r="N103" s="17" t="n"/>
      <c r="O103" s="17" t="n"/>
      <c r="P103" s="18" t="n"/>
    </row>
    <row r="104" ht="24" customHeight="1">
      <c r="A104" s="4" t="n">
        <v>101</v>
      </c>
      <c r="B104" s="4" t="n"/>
      <c r="C104" s="5" t="n"/>
      <c r="D104" s="5" t="n"/>
      <c r="E104" s="7" t="n"/>
      <c r="F104" s="7" t="n"/>
      <c r="G104" s="7" t="n"/>
      <c r="H104" s="4" t="n"/>
      <c r="I104" s="5" t="n"/>
      <c r="J104" s="4" t="n"/>
      <c r="K104" s="7">
        <f>IF(G104&lt;&gt;"",G104+3,"")</f>
        <v/>
      </c>
      <c r="L104" s="4" t="n"/>
      <c r="M104" s="7">
        <f>IF(G104&lt;&gt;"",G104+6,"")</f>
        <v/>
      </c>
      <c r="N104" s="4" t="n"/>
      <c r="O104" s="4" t="n"/>
      <c r="P104" s="5" t="n"/>
    </row>
    <row r="105" ht="24" customHeight="1">
      <c r="A105" s="17" t="n">
        <v>102</v>
      </c>
      <c r="B105" s="17" t="n"/>
      <c r="C105" s="18" t="n"/>
      <c r="D105" s="18" t="n"/>
      <c r="E105" s="19" t="n"/>
      <c r="F105" s="19" t="n"/>
      <c r="G105" s="19" t="n"/>
      <c r="H105" s="17" t="n"/>
      <c r="I105" s="18" t="n"/>
      <c r="J105" s="17" t="n"/>
      <c r="K105" s="19">
        <f>IF(G105&lt;&gt;"",G105+3,"")</f>
        <v/>
      </c>
      <c r="L105" s="17" t="n"/>
      <c r="M105" s="19">
        <f>IF(G105&lt;&gt;"",G105+6,"")</f>
        <v/>
      </c>
      <c r="N105" s="17" t="n"/>
      <c r="O105" s="17" t="n"/>
      <c r="P105" s="18" t="n"/>
    </row>
    <row r="106" ht="24" customHeight="1">
      <c r="A106" s="4" t="n">
        <v>103</v>
      </c>
      <c r="B106" s="4" t="n"/>
      <c r="C106" s="5" t="n"/>
      <c r="D106" s="5" t="n"/>
      <c r="E106" s="7" t="n"/>
      <c r="F106" s="7" t="n"/>
      <c r="G106" s="7" t="n"/>
      <c r="H106" s="4" t="n"/>
      <c r="I106" s="5" t="n"/>
      <c r="J106" s="4" t="n"/>
      <c r="K106" s="7">
        <f>IF(G106&lt;&gt;"",G106+3,"")</f>
        <v/>
      </c>
      <c r="L106" s="4" t="n"/>
      <c r="M106" s="7">
        <f>IF(G106&lt;&gt;"",G106+6,"")</f>
        <v/>
      </c>
      <c r="N106" s="4" t="n"/>
      <c r="O106" s="4" t="n"/>
      <c r="P106" s="5" t="n"/>
    </row>
    <row r="107" ht="24" customHeight="1">
      <c r="A107" s="17" t="n">
        <v>104</v>
      </c>
      <c r="B107" s="17" t="n"/>
      <c r="C107" s="18" t="n"/>
      <c r="D107" s="18" t="n"/>
      <c r="E107" s="19" t="n"/>
      <c r="F107" s="19" t="n"/>
      <c r="G107" s="19" t="n"/>
      <c r="H107" s="17" t="n"/>
      <c r="I107" s="18" t="n"/>
      <c r="J107" s="17" t="n"/>
      <c r="K107" s="19">
        <f>IF(G107&lt;&gt;"",G107+3,"")</f>
        <v/>
      </c>
      <c r="L107" s="17" t="n"/>
      <c r="M107" s="19">
        <f>IF(G107&lt;&gt;"",G107+6,"")</f>
        <v/>
      </c>
      <c r="N107" s="17" t="n"/>
      <c r="O107" s="17" t="n"/>
      <c r="P107" s="18" t="n"/>
    </row>
    <row r="108" ht="24" customHeight="1">
      <c r="A108" s="4" t="n">
        <v>105</v>
      </c>
      <c r="B108" s="4" t="n"/>
      <c r="C108" s="5" t="n"/>
      <c r="D108" s="5" t="n"/>
      <c r="E108" s="7" t="n"/>
      <c r="F108" s="7" t="n"/>
      <c r="G108" s="7" t="n"/>
      <c r="H108" s="4" t="n"/>
      <c r="I108" s="5" t="n"/>
      <c r="J108" s="4" t="n"/>
      <c r="K108" s="7">
        <f>IF(G108&lt;&gt;"",G108+3,"")</f>
        <v/>
      </c>
      <c r="L108" s="4" t="n"/>
      <c r="M108" s="7">
        <f>IF(G108&lt;&gt;"",G108+6,"")</f>
        <v/>
      </c>
      <c r="N108" s="4" t="n"/>
      <c r="O108" s="4" t="n"/>
      <c r="P108" s="5" t="n"/>
    </row>
    <row r="109" ht="24" customHeight="1">
      <c r="A109" s="17" t="n">
        <v>106</v>
      </c>
      <c r="B109" s="17" t="n"/>
      <c r="C109" s="18" t="n"/>
      <c r="D109" s="18" t="n"/>
      <c r="E109" s="19" t="n"/>
      <c r="F109" s="19" t="n"/>
      <c r="G109" s="19" t="n"/>
      <c r="H109" s="17" t="n"/>
      <c r="I109" s="18" t="n"/>
      <c r="J109" s="17" t="n"/>
      <c r="K109" s="19">
        <f>IF(G109&lt;&gt;"",G109+3,"")</f>
        <v/>
      </c>
      <c r="L109" s="17" t="n"/>
      <c r="M109" s="19">
        <f>IF(G109&lt;&gt;"",G109+6,"")</f>
        <v/>
      </c>
      <c r="N109" s="17" t="n"/>
      <c r="O109" s="17" t="n"/>
      <c r="P109" s="18" t="n"/>
    </row>
    <row r="110" ht="24" customHeight="1">
      <c r="A110" s="4" t="n">
        <v>107</v>
      </c>
      <c r="B110" s="4" t="n"/>
      <c r="C110" s="5" t="n"/>
      <c r="D110" s="5" t="n"/>
      <c r="E110" s="7" t="n"/>
      <c r="F110" s="7" t="n"/>
      <c r="G110" s="7" t="n"/>
      <c r="H110" s="4" t="n"/>
      <c r="I110" s="5" t="n"/>
      <c r="J110" s="4" t="n"/>
      <c r="K110" s="7">
        <f>IF(G110&lt;&gt;"",G110+3,"")</f>
        <v/>
      </c>
      <c r="L110" s="4" t="n"/>
      <c r="M110" s="7">
        <f>IF(G110&lt;&gt;"",G110+6,"")</f>
        <v/>
      </c>
      <c r="N110" s="4" t="n"/>
      <c r="O110" s="4" t="n"/>
      <c r="P110" s="5" t="n"/>
    </row>
    <row r="111" ht="24" customHeight="1">
      <c r="A111" s="17" t="n">
        <v>108</v>
      </c>
      <c r="B111" s="17" t="n"/>
      <c r="C111" s="18" t="n"/>
      <c r="D111" s="18" t="n"/>
      <c r="E111" s="19" t="n"/>
      <c r="F111" s="19" t="n"/>
      <c r="G111" s="19" t="n"/>
      <c r="H111" s="17" t="n"/>
      <c r="I111" s="18" t="n"/>
      <c r="J111" s="17" t="n"/>
      <c r="K111" s="19">
        <f>IF(G111&lt;&gt;"",G111+3,"")</f>
        <v/>
      </c>
      <c r="L111" s="17" t="n"/>
      <c r="M111" s="19">
        <f>IF(G111&lt;&gt;"",G111+6,"")</f>
        <v/>
      </c>
      <c r="N111" s="17" t="n"/>
      <c r="O111" s="17" t="n"/>
      <c r="P111" s="18" t="n"/>
    </row>
    <row r="112" ht="24" customHeight="1">
      <c r="A112" s="4" t="n">
        <v>109</v>
      </c>
      <c r="B112" s="4" t="n"/>
      <c r="C112" s="5" t="n"/>
      <c r="D112" s="5" t="n"/>
      <c r="E112" s="7" t="n"/>
      <c r="F112" s="7" t="n"/>
      <c r="G112" s="7" t="n"/>
      <c r="H112" s="4" t="n"/>
      <c r="I112" s="5" t="n"/>
      <c r="J112" s="4" t="n"/>
      <c r="K112" s="7">
        <f>IF(G112&lt;&gt;"",G112+3,"")</f>
        <v/>
      </c>
      <c r="L112" s="4" t="n"/>
      <c r="M112" s="7">
        <f>IF(G112&lt;&gt;"",G112+6,"")</f>
        <v/>
      </c>
      <c r="N112" s="4" t="n"/>
      <c r="O112" s="4" t="n"/>
      <c r="P112" s="5" t="n"/>
    </row>
    <row r="113" ht="24" customHeight="1">
      <c r="A113" s="17" t="n">
        <v>110</v>
      </c>
      <c r="B113" s="17" t="n"/>
      <c r="C113" s="18" t="n"/>
      <c r="D113" s="18" t="n"/>
      <c r="E113" s="19" t="n"/>
      <c r="F113" s="19" t="n"/>
      <c r="G113" s="19" t="n"/>
      <c r="H113" s="17" t="n"/>
      <c r="I113" s="18" t="n"/>
      <c r="J113" s="17" t="n"/>
      <c r="K113" s="19">
        <f>IF(G113&lt;&gt;"",G113+3,"")</f>
        <v/>
      </c>
      <c r="L113" s="17" t="n"/>
      <c r="M113" s="19">
        <f>IF(G113&lt;&gt;"",G113+6,"")</f>
        <v/>
      </c>
      <c r="N113" s="17" t="n"/>
      <c r="O113" s="17" t="n"/>
      <c r="P113" s="18" t="n"/>
    </row>
    <row r="114" ht="24" customHeight="1">
      <c r="A114" s="4" t="n">
        <v>111</v>
      </c>
      <c r="B114" s="4" t="n"/>
      <c r="C114" s="5" t="n"/>
      <c r="D114" s="5" t="n"/>
      <c r="E114" s="7" t="n"/>
      <c r="F114" s="7" t="n"/>
      <c r="G114" s="7" t="n"/>
      <c r="H114" s="4" t="n"/>
      <c r="I114" s="5" t="n"/>
      <c r="J114" s="4" t="n"/>
      <c r="K114" s="7">
        <f>IF(G114&lt;&gt;"",G114+3,"")</f>
        <v/>
      </c>
      <c r="L114" s="4" t="n"/>
      <c r="M114" s="7">
        <f>IF(G114&lt;&gt;"",G114+6,"")</f>
        <v/>
      </c>
      <c r="N114" s="4" t="n"/>
      <c r="O114" s="4" t="n"/>
      <c r="P114" s="5" t="n"/>
    </row>
    <row r="115" ht="24" customHeight="1">
      <c r="A115" s="17" t="n">
        <v>112</v>
      </c>
      <c r="B115" s="17" t="n"/>
      <c r="C115" s="18" t="n"/>
      <c r="D115" s="18" t="n"/>
      <c r="E115" s="19" t="n"/>
      <c r="F115" s="19" t="n"/>
      <c r="G115" s="19" t="n"/>
      <c r="H115" s="17" t="n"/>
      <c r="I115" s="18" t="n"/>
      <c r="J115" s="17" t="n"/>
      <c r="K115" s="19">
        <f>IF(G115&lt;&gt;"",G115+3,"")</f>
        <v/>
      </c>
      <c r="L115" s="17" t="n"/>
      <c r="M115" s="19">
        <f>IF(G115&lt;&gt;"",G115+6,"")</f>
        <v/>
      </c>
      <c r="N115" s="17" t="n"/>
      <c r="O115" s="17" t="n"/>
      <c r="P115" s="18" t="n"/>
    </row>
    <row r="116" ht="24" customHeight="1">
      <c r="A116" s="4" t="n">
        <v>113</v>
      </c>
      <c r="B116" s="4" t="n"/>
      <c r="C116" s="5" t="n"/>
      <c r="D116" s="5" t="n"/>
      <c r="E116" s="7" t="n"/>
      <c r="F116" s="7" t="n"/>
      <c r="G116" s="7" t="n"/>
      <c r="H116" s="4" t="n"/>
      <c r="I116" s="5" t="n"/>
      <c r="J116" s="4" t="n"/>
      <c r="K116" s="7">
        <f>IF(G116&lt;&gt;"",G116+3,"")</f>
        <v/>
      </c>
      <c r="L116" s="4" t="n"/>
      <c r="M116" s="7">
        <f>IF(G116&lt;&gt;"",G116+6,"")</f>
        <v/>
      </c>
      <c r="N116" s="4" t="n"/>
      <c r="O116" s="4" t="n"/>
      <c r="P116" s="5" t="n"/>
    </row>
    <row r="117" ht="24" customHeight="1">
      <c r="A117" s="17" t="n">
        <v>114</v>
      </c>
      <c r="B117" s="17" t="n"/>
      <c r="C117" s="18" t="n"/>
      <c r="D117" s="18" t="n"/>
      <c r="E117" s="19" t="n"/>
      <c r="F117" s="19" t="n"/>
      <c r="G117" s="19" t="n"/>
      <c r="H117" s="17" t="n"/>
      <c r="I117" s="18" t="n"/>
      <c r="J117" s="17" t="n"/>
      <c r="K117" s="19">
        <f>IF(G117&lt;&gt;"",G117+3,"")</f>
        <v/>
      </c>
      <c r="L117" s="17" t="n"/>
      <c r="M117" s="19">
        <f>IF(G117&lt;&gt;"",G117+6,"")</f>
        <v/>
      </c>
      <c r="N117" s="17" t="n"/>
      <c r="O117" s="17" t="n"/>
      <c r="P117" s="18" t="n"/>
    </row>
    <row r="118" ht="24" customHeight="1">
      <c r="A118" s="4" t="n">
        <v>115</v>
      </c>
      <c r="B118" s="4" t="n"/>
      <c r="C118" s="5" t="n"/>
      <c r="D118" s="5" t="n"/>
      <c r="E118" s="7" t="n"/>
      <c r="F118" s="7" t="n"/>
      <c r="G118" s="7" t="n"/>
      <c r="H118" s="4" t="n"/>
      <c r="I118" s="5" t="n"/>
      <c r="J118" s="4" t="n"/>
      <c r="K118" s="7">
        <f>IF(G118&lt;&gt;"",G118+3,"")</f>
        <v/>
      </c>
      <c r="L118" s="4" t="n"/>
      <c r="M118" s="7">
        <f>IF(G118&lt;&gt;"",G118+6,"")</f>
        <v/>
      </c>
      <c r="N118" s="4" t="n"/>
      <c r="O118" s="4" t="n"/>
      <c r="P118" s="5" t="n"/>
    </row>
    <row r="119" ht="24" customHeight="1">
      <c r="A119" s="17" t="n">
        <v>116</v>
      </c>
      <c r="B119" s="17" t="n"/>
      <c r="C119" s="18" t="n"/>
      <c r="D119" s="18" t="n"/>
      <c r="E119" s="19" t="n"/>
      <c r="F119" s="19" t="n"/>
      <c r="G119" s="19" t="n"/>
      <c r="H119" s="17" t="n"/>
      <c r="I119" s="18" t="n"/>
      <c r="J119" s="17" t="n"/>
      <c r="K119" s="19">
        <f>IF(G119&lt;&gt;"",G119+3,"")</f>
        <v/>
      </c>
      <c r="L119" s="17" t="n"/>
      <c r="M119" s="19">
        <f>IF(G119&lt;&gt;"",G119+6,"")</f>
        <v/>
      </c>
      <c r="N119" s="17" t="n"/>
      <c r="O119" s="17" t="n"/>
      <c r="P119" s="18" t="n"/>
    </row>
    <row r="120" ht="24" customHeight="1">
      <c r="A120" s="4" t="n">
        <v>117</v>
      </c>
      <c r="B120" s="4" t="n"/>
      <c r="C120" s="5" t="n"/>
      <c r="D120" s="5" t="n"/>
      <c r="E120" s="7" t="n"/>
      <c r="F120" s="7" t="n"/>
      <c r="G120" s="7" t="n"/>
      <c r="H120" s="4" t="n"/>
      <c r="I120" s="5" t="n"/>
      <c r="J120" s="4" t="n"/>
      <c r="K120" s="7">
        <f>IF(G120&lt;&gt;"",G120+3,"")</f>
        <v/>
      </c>
      <c r="L120" s="4" t="n"/>
      <c r="M120" s="7">
        <f>IF(G120&lt;&gt;"",G120+6,"")</f>
        <v/>
      </c>
      <c r="N120" s="4" t="n"/>
      <c r="O120" s="4" t="n"/>
      <c r="P120" s="5" t="n"/>
    </row>
    <row r="121" ht="24" customHeight="1">
      <c r="A121" s="17" t="n">
        <v>118</v>
      </c>
      <c r="B121" s="17" t="n"/>
      <c r="C121" s="18" t="n"/>
      <c r="D121" s="18" t="n"/>
      <c r="E121" s="19" t="n"/>
      <c r="F121" s="19" t="n"/>
      <c r="G121" s="19" t="n"/>
      <c r="H121" s="17" t="n"/>
      <c r="I121" s="18" t="n"/>
      <c r="J121" s="17" t="n"/>
      <c r="K121" s="19">
        <f>IF(G121&lt;&gt;"",G121+3,"")</f>
        <v/>
      </c>
      <c r="L121" s="17" t="n"/>
      <c r="M121" s="19">
        <f>IF(G121&lt;&gt;"",G121+6,"")</f>
        <v/>
      </c>
      <c r="N121" s="17" t="n"/>
      <c r="O121" s="17" t="n"/>
      <c r="P121" s="18" t="n"/>
    </row>
    <row r="122" ht="24" customHeight="1">
      <c r="A122" s="4" t="n">
        <v>119</v>
      </c>
      <c r="B122" s="4" t="n"/>
      <c r="C122" s="5" t="n"/>
      <c r="D122" s="5" t="n"/>
      <c r="E122" s="7" t="n"/>
      <c r="F122" s="7" t="n"/>
      <c r="G122" s="7" t="n"/>
      <c r="H122" s="4" t="n"/>
      <c r="I122" s="5" t="n"/>
      <c r="J122" s="4" t="n"/>
      <c r="K122" s="7">
        <f>IF(G122&lt;&gt;"",G122+3,"")</f>
        <v/>
      </c>
      <c r="L122" s="4" t="n"/>
      <c r="M122" s="7">
        <f>IF(G122&lt;&gt;"",G122+6,"")</f>
        <v/>
      </c>
      <c r="N122" s="4" t="n"/>
      <c r="O122" s="4" t="n"/>
      <c r="P122" s="5" t="n"/>
    </row>
    <row r="123" ht="24" customHeight="1">
      <c r="A123" s="17" t="n">
        <v>120</v>
      </c>
      <c r="B123" s="17" t="n"/>
      <c r="C123" s="18" t="n"/>
      <c r="D123" s="18" t="n"/>
      <c r="E123" s="19" t="n"/>
      <c r="F123" s="19" t="n"/>
      <c r="G123" s="19" t="n"/>
      <c r="H123" s="17" t="n"/>
      <c r="I123" s="18" t="n"/>
      <c r="J123" s="17" t="n"/>
      <c r="K123" s="19">
        <f>IF(G123&lt;&gt;"",G123+3,"")</f>
        <v/>
      </c>
      <c r="L123" s="17" t="n"/>
      <c r="M123" s="19">
        <f>IF(G123&lt;&gt;"",G123+6,"")</f>
        <v/>
      </c>
      <c r="N123" s="17" t="n"/>
      <c r="O123" s="17" t="n"/>
      <c r="P123" s="18" t="n"/>
    </row>
    <row r="124" ht="24" customHeight="1">
      <c r="A124" s="4" t="n">
        <v>121</v>
      </c>
      <c r="B124" s="4" t="n"/>
      <c r="C124" s="5" t="n"/>
      <c r="D124" s="5" t="n"/>
      <c r="E124" s="7" t="n"/>
      <c r="F124" s="7" t="n"/>
      <c r="G124" s="7" t="n"/>
      <c r="H124" s="4" t="n"/>
      <c r="I124" s="5" t="n"/>
      <c r="J124" s="4" t="n"/>
      <c r="K124" s="7">
        <f>IF(G124&lt;&gt;"",G124+3,"")</f>
        <v/>
      </c>
      <c r="L124" s="4" t="n"/>
      <c r="M124" s="7">
        <f>IF(G124&lt;&gt;"",G124+6,"")</f>
        <v/>
      </c>
      <c r="N124" s="4" t="n"/>
      <c r="O124" s="4" t="n"/>
      <c r="P124" s="5" t="n"/>
    </row>
    <row r="125" ht="24" customHeight="1">
      <c r="A125" s="17" t="n">
        <v>122</v>
      </c>
      <c r="B125" s="17" t="n"/>
      <c r="C125" s="18" t="n"/>
      <c r="D125" s="18" t="n"/>
      <c r="E125" s="19" t="n"/>
      <c r="F125" s="19" t="n"/>
      <c r="G125" s="19" t="n"/>
      <c r="H125" s="17" t="n"/>
      <c r="I125" s="18" t="n"/>
      <c r="J125" s="17" t="n"/>
      <c r="K125" s="19">
        <f>IF(G125&lt;&gt;"",G125+3,"")</f>
        <v/>
      </c>
      <c r="L125" s="17" t="n"/>
      <c r="M125" s="19">
        <f>IF(G125&lt;&gt;"",G125+6,"")</f>
        <v/>
      </c>
      <c r="N125" s="17" t="n"/>
      <c r="O125" s="17" t="n"/>
      <c r="P125" s="18" t="n"/>
    </row>
    <row r="126" ht="24" customHeight="1">
      <c r="A126" s="4" t="n">
        <v>123</v>
      </c>
      <c r="B126" s="4" t="n"/>
      <c r="C126" s="5" t="n"/>
      <c r="D126" s="5" t="n"/>
      <c r="E126" s="7" t="n"/>
      <c r="F126" s="7" t="n"/>
      <c r="G126" s="7" t="n"/>
      <c r="H126" s="4" t="n"/>
      <c r="I126" s="5" t="n"/>
      <c r="J126" s="4" t="n"/>
      <c r="K126" s="7">
        <f>IF(G126&lt;&gt;"",G126+3,"")</f>
        <v/>
      </c>
      <c r="L126" s="4" t="n"/>
      <c r="M126" s="7">
        <f>IF(G126&lt;&gt;"",G126+6,"")</f>
        <v/>
      </c>
      <c r="N126" s="4" t="n"/>
      <c r="O126" s="4" t="n"/>
      <c r="P126" s="5" t="n"/>
    </row>
    <row r="127" ht="24" customHeight="1">
      <c r="A127" s="17" t="n">
        <v>124</v>
      </c>
      <c r="B127" s="17" t="n"/>
      <c r="C127" s="18" t="n"/>
      <c r="D127" s="18" t="n"/>
      <c r="E127" s="19" t="n"/>
      <c r="F127" s="19" t="n"/>
      <c r="G127" s="19" t="n"/>
      <c r="H127" s="17" t="n"/>
      <c r="I127" s="18" t="n"/>
      <c r="J127" s="17" t="n"/>
      <c r="K127" s="19">
        <f>IF(G127&lt;&gt;"",G127+3,"")</f>
        <v/>
      </c>
      <c r="L127" s="17" t="n"/>
      <c r="M127" s="19">
        <f>IF(G127&lt;&gt;"",G127+6,"")</f>
        <v/>
      </c>
      <c r="N127" s="17" t="n"/>
      <c r="O127" s="17" t="n"/>
      <c r="P127" s="18" t="n"/>
    </row>
    <row r="128" ht="24" customHeight="1">
      <c r="A128" s="4" t="n">
        <v>125</v>
      </c>
      <c r="B128" s="4" t="n"/>
      <c r="C128" s="5" t="n"/>
      <c r="D128" s="5" t="n"/>
      <c r="E128" s="7" t="n"/>
      <c r="F128" s="7" t="n"/>
      <c r="G128" s="7" t="n"/>
      <c r="H128" s="4" t="n"/>
      <c r="I128" s="5" t="n"/>
      <c r="J128" s="4" t="n"/>
      <c r="K128" s="7">
        <f>IF(G128&lt;&gt;"",G128+3,"")</f>
        <v/>
      </c>
      <c r="L128" s="4" t="n"/>
      <c r="M128" s="7">
        <f>IF(G128&lt;&gt;"",G128+6,"")</f>
        <v/>
      </c>
      <c r="N128" s="4" t="n"/>
      <c r="O128" s="4" t="n"/>
      <c r="P128" s="5" t="n"/>
    </row>
    <row r="129" ht="24" customHeight="1">
      <c r="A129" s="17" t="n">
        <v>126</v>
      </c>
      <c r="B129" s="17" t="n"/>
      <c r="C129" s="18" t="n"/>
      <c r="D129" s="18" t="n"/>
      <c r="E129" s="19" t="n"/>
      <c r="F129" s="19" t="n"/>
      <c r="G129" s="19" t="n"/>
      <c r="H129" s="17" t="n"/>
      <c r="I129" s="18" t="n"/>
      <c r="J129" s="17" t="n"/>
      <c r="K129" s="19">
        <f>IF(G129&lt;&gt;"",G129+3,"")</f>
        <v/>
      </c>
      <c r="L129" s="17" t="n"/>
      <c r="M129" s="19">
        <f>IF(G129&lt;&gt;"",G129+6,"")</f>
        <v/>
      </c>
      <c r="N129" s="17" t="n"/>
      <c r="O129" s="17" t="n"/>
      <c r="P129" s="18" t="n"/>
    </row>
    <row r="130" ht="24" customHeight="1">
      <c r="A130" s="4" t="n">
        <v>127</v>
      </c>
      <c r="B130" s="4" t="n"/>
      <c r="C130" s="5" t="n"/>
      <c r="D130" s="5" t="n"/>
      <c r="E130" s="7" t="n"/>
      <c r="F130" s="7" t="n"/>
      <c r="G130" s="7" t="n"/>
      <c r="H130" s="4" t="n"/>
      <c r="I130" s="5" t="n"/>
      <c r="J130" s="4" t="n"/>
      <c r="K130" s="7">
        <f>IF(G130&lt;&gt;"",G130+3,"")</f>
        <v/>
      </c>
      <c r="L130" s="4" t="n"/>
      <c r="M130" s="7">
        <f>IF(G130&lt;&gt;"",G130+6,"")</f>
        <v/>
      </c>
      <c r="N130" s="4" t="n"/>
      <c r="O130" s="4" t="n"/>
      <c r="P130" s="5" t="n"/>
    </row>
    <row r="131" ht="24" customHeight="1">
      <c r="A131" s="17" t="n">
        <v>128</v>
      </c>
      <c r="B131" s="17" t="n"/>
      <c r="C131" s="18" t="n"/>
      <c r="D131" s="18" t="n"/>
      <c r="E131" s="19" t="n"/>
      <c r="F131" s="19" t="n"/>
      <c r="G131" s="19" t="n"/>
      <c r="H131" s="17" t="n"/>
      <c r="I131" s="18" t="n"/>
      <c r="J131" s="17" t="n"/>
      <c r="K131" s="19">
        <f>IF(G131&lt;&gt;"",G131+3,"")</f>
        <v/>
      </c>
      <c r="L131" s="17" t="n"/>
      <c r="M131" s="19">
        <f>IF(G131&lt;&gt;"",G131+6,"")</f>
        <v/>
      </c>
      <c r="N131" s="17" t="n"/>
      <c r="O131" s="17" t="n"/>
      <c r="P131" s="18" t="n"/>
    </row>
    <row r="132" ht="24" customHeight="1">
      <c r="A132" s="4" t="n">
        <v>129</v>
      </c>
      <c r="B132" s="4" t="n"/>
      <c r="C132" s="5" t="n"/>
      <c r="D132" s="5" t="n"/>
      <c r="E132" s="7" t="n"/>
      <c r="F132" s="7" t="n"/>
      <c r="G132" s="7" t="n"/>
      <c r="H132" s="4" t="n"/>
      <c r="I132" s="5" t="n"/>
      <c r="J132" s="4" t="n"/>
      <c r="K132" s="7">
        <f>IF(G132&lt;&gt;"",G132+3,"")</f>
        <v/>
      </c>
      <c r="L132" s="4" t="n"/>
      <c r="M132" s="7">
        <f>IF(G132&lt;&gt;"",G132+6,"")</f>
        <v/>
      </c>
      <c r="N132" s="4" t="n"/>
      <c r="O132" s="4" t="n"/>
      <c r="P132" s="5" t="n"/>
    </row>
    <row r="133" ht="24" customHeight="1">
      <c r="A133" s="17" t="n">
        <v>130</v>
      </c>
      <c r="B133" s="17" t="n"/>
      <c r="C133" s="18" t="n"/>
      <c r="D133" s="18" t="n"/>
      <c r="E133" s="19" t="n"/>
      <c r="F133" s="19" t="n"/>
      <c r="G133" s="19" t="n"/>
      <c r="H133" s="17" t="n"/>
      <c r="I133" s="18" t="n"/>
      <c r="J133" s="17" t="n"/>
      <c r="K133" s="19">
        <f>IF(G133&lt;&gt;"",G133+3,"")</f>
        <v/>
      </c>
      <c r="L133" s="17" t="n"/>
      <c r="M133" s="19">
        <f>IF(G133&lt;&gt;"",G133+6,"")</f>
        <v/>
      </c>
      <c r="N133" s="17" t="n"/>
      <c r="O133" s="17" t="n"/>
      <c r="P133" s="18" t="n"/>
    </row>
    <row r="134" ht="24" customHeight="1">
      <c r="A134" s="4" t="n">
        <v>131</v>
      </c>
      <c r="B134" s="4" t="n"/>
      <c r="C134" s="5" t="n"/>
      <c r="D134" s="5" t="n"/>
      <c r="E134" s="7" t="n"/>
      <c r="F134" s="7" t="n"/>
      <c r="G134" s="7" t="n"/>
      <c r="H134" s="4" t="n"/>
      <c r="I134" s="5" t="n"/>
      <c r="J134" s="4" t="n"/>
      <c r="K134" s="7">
        <f>IF(G134&lt;&gt;"",G134+3,"")</f>
        <v/>
      </c>
      <c r="L134" s="4" t="n"/>
      <c r="M134" s="7">
        <f>IF(G134&lt;&gt;"",G134+6,"")</f>
        <v/>
      </c>
      <c r="N134" s="4" t="n"/>
      <c r="O134" s="4" t="n"/>
      <c r="P134" s="5" t="n"/>
    </row>
    <row r="135" ht="24" customHeight="1">
      <c r="A135" s="17" t="n">
        <v>132</v>
      </c>
      <c r="B135" s="17" t="n"/>
      <c r="C135" s="18" t="n"/>
      <c r="D135" s="18" t="n"/>
      <c r="E135" s="19" t="n"/>
      <c r="F135" s="19" t="n"/>
      <c r="G135" s="19" t="n"/>
      <c r="H135" s="17" t="n"/>
      <c r="I135" s="18" t="n"/>
      <c r="J135" s="17" t="n"/>
      <c r="K135" s="19">
        <f>IF(G135&lt;&gt;"",G135+3,"")</f>
        <v/>
      </c>
      <c r="L135" s="17" t="n"/>
      <c r="M135" s="19">
        <f>IF(G135&lt;&gt;"",G135+6,"")</f>
        <v/>
      </c>
      <c r="N135" s="17" t="n"/>
      <c r="O135" s="17" t="n"/>
      <c r="P135" s="18" t="n"/>
    </row>
    <row r="136" ht="24" customHeight="1">
      <c r="A136" s="4" t="n">
        <v>133</v>
      </c>
      <c r="B136" s="4" t="n"/>
      <c r="C136" s="5" t="n"/>
      <c r="D136" s="5" t="n"/>
      <c r="E136" s="7" t="n"/>
      <c r="F136" s="7" t="n"/>
      <c r="G136" s="7" t="n"/>
      <c r="H136" s="4" t="n"/>
      <c r="I136" s="5" t="n"/>
      <c r="J136" s="4" t="n"/>
      <c r="K136" s="7">
        <f>IF(G136&lt;&gt;"",G136+3,"")</f>
        <v/>
      </c>
      <c r="L136" s="4" t="n"/>
      <c r="M136" s="7">
        <f>IF(G136&lt;&gt;"",G136+6,"")</f>
        <v/>
      </c>
      <c r="N136" s="4" t="n"/>
      <c r="O136" s="4" t="n"/>
      <c r="P136" s="5" t="n"/>
    </row>
    <row r="137" ht="24" customHeight="1">
      <c r="A137" s="17" t="n">
        <v>134</v>
      </c>
      <c r="B137" s="17" t="n"/>
      <c r="C137" s="18" t="n"/>
      <c r="D137" s="18" t="n"/>
      <c r="E137" s="19" t="n"/>
      <c r="F137" s="19" t="n"/>
      <c r="G137" s="19" t="n"/>
      <c r="H137" s="17" t="n"/>
      <c r="I137" s="18" t="n"/>
      <c r="J137" s="17" t="n"/>
      <c r="K137" s="19">
        <f>IF(G137&lt;&gt;"",G137+3,"")</f>
        <v/>
      </c>
      <c r="L137" s="17" t="n"/>
      <c r="M137" s="19">
        <f>IF(G137&lt;&gt;"",G137+6,"")</f>
        <v/>
      </c>
      <c r="N137" s="17" t="n"/>
      <c r="O137" s="17" t="n"/>
      <c r="P137" s="18" t="n"/>
    </row>
    <row r="138" ht="24" customHeight="1">
      <c r="A138" s="4" t="n">
        <v>135</v>
      </c>
      <c r="B138" s="4" t="n"/>
      <c r="C138" s="5" t="n"/>
      <c r="D138" s="5" t="n"/>
      <c r="E138" s="7" t="n"/>
      <c r="F138" s="7" t="n"/>
      <c r="G138" s="7" t="n"/>
      <c r="H138" s="4" t="n"/>
      <c r="I138" s="5" t="n"/>
      <c r="J138" s="4" t="n"/>
      <c r="K138" s="7">
        <f>IF(G138&lt;&gt;"",G138+3,"")</f>
        <v/>
      </c>
      <c r="L138" s="4" t="n"/>
      <c r="M138" s="7">
        <f>IF(G138&lt;&gt;"",G138+6,"")</f>
        <v/>
      </c>
      <c r="N138" s="4" t="n"/>
      <c r="O138" s="4" t="n"/>
      <c r="P138" s="5" t="n"/>
    </row>
    <row r="139" ht="24" customHeight="1">
      <c r="A139" s="17" t="n">
        <v>136</v>
      </c>
      <c r="B139" s="17" t="n"/>
      <c r="C139" s="18" t="n"/>
      <c r="D139" s="18" t="n"/>
      <c r="E139" s="19" t="n"/>
      <c r="F139" s="19" t="n"/>
      <c r="G139" s="19" t="n"/>
      <c r="H139" s="17" t="n"/>
      <c r="I139" s="18" t="n"/>
      <c r="J139" s="17" t="n"/>
      <c r="K139" s="19">
        <f>IF(G139&lt;&gt;"",G139+3,"")</f>
        <v/>
      </c>
      <c r="L139" s="17" t="n"/>
      <c r="M139" s="19">
        <f>IF(G139&lt;&gt;"",G139+6,"")</f>
        <v/>
      </c>
      <c r="N139" s="17" t="n"/>
      <c r="O139" s="17" t="n"/>
      <c r="P139" s="18" t="n"/>
    </row>
    <row r="140" ht="24" customHeight="1">
      <c r="A140" s="4" t="n">
        <v>137</v>
      </c>
      <c r="B140" s="4" t="n"/>
      <c r="C140" s="5" t="n"/>
      <c r="D140" s="5" t="n"/>
      <c r="E140" s="7" t="n"/>
      <c r="F140" s="7" t="n"/>
      <c r="G140" s="7" t="n"/>
      <c r="H140" s="4" t="n"/>
      <c r="I140" s="5" t="n"/>
      <c r="J140" s="4" t="n"/>
      <c r="K140" s="7">
        <f>IF(G140&lt;&gt;"",G140+3,"")</f>
        <v/>
      </c>
      <c r="L140" s="4" t="n"/>
      <c r="M140" s="7">
        <f>IF(G140&lt;&gt;"",G140+6,"")</f>
        <v/>
      </c>
      <c r="N140" s="4" t="n"/>
      <c r="O140" s="4" t="n"/>
      <c r="P140" s="5" t="n"/>
    </row>
    <row r="141" ht="24" customHeight="1">
      <c r="A141" s="17" t="n">
        <v>138</v>
      </c>
      <c r="B141" s="17" t="n"/>
      <c r="C141" s="18" t="n"/>
      <c r="D141" s="18" t="n"/>
      <c r="E141" s="19" t="n"/>
      <c r="F141" s="19" t="n"/>
      <c r="G141" s="19" t="n"/>
      <c r="H141" s="17" t="n"/>
      <c r="I141" s="18" t="n"/>
      <c r="J141" s="17" t="n"/>
      <c r="K141" s="19">
        <f>IF(G141&lt;&gt;"",G141+3,"")</f>
        <v/>
      </c>
      <c r="L141" s="17" t="n"/>
      <c r="M141" s="19">
        <f>IF(G141&lt;&gt;"",G141+6,"")</f>
        <v/>
      </c>
      <c r="N141" s="17" t="n"/>
      <c r="O141" s="17" t="n"/>
      <c r="P141" s="18" t="n"/>
    </row>
    <row r="142" ht="24" customHeight="1">
      <c r="A142" s="4" t="n">
        <v>139</v>
      </c>
      <c r="B142" s="4" t="n"/>
      <c r="C142" s="5" t="n"/>
      <c r="D142" s="5" t="n"/>
      <c r="E142" s="7" t="n"/>
      <c r="F142" s="7" t="n"/>
      <c r="G142" s="7" t="n"/>
      <c r="H142" s="4" t="n"/>
      <c r="I142" s="5" t="n"/>
      <c r="J142" s="4" t="n"/>
      <c r="K142" s="7">
        <f>IF(G142&lt;&gt;"",G142+3,"")</f>
        <v/>
      </c>
      <c r="L142" s="4" t="n"/>
      <c r="M142" s="7">
        <f>IF(G142&lt;&gt;"",G142+6,"")</f>
        <v/>
      </c>
      <c r="N142" s="4" t="n"/>
      <c r="O142" s="4" t="n"/>
      <c r="P142" s="5" t="n"/>
    </row>
    <row r="143" ht="24" customHeight="1">
      <c r="A143" s="17" t="n">
        <v>140</v>
      </c>
      <c r="B143" s="17" t="n"/>
      <c r="C143" s="18" t="n"/>
      <c r="D143" s="18" t="n"/>
      <c r="E143" s="19" t="n"/>
      <c r="F143" s="19" t="n"/>
      <c r="G143" s="19" t="n"/>
      <c r="H143" s="17" t="n"/>
      <c r="I143" s="18" t="n"/>
      <c r="J143" s="17" t="n"/>
      <c r="K143" s="19">
        <f>IF(G143&lt;&gt;"",G143+3,"")</f>
        <v/>
      </c>
      <c r="L143" s="17" t="n"/>
      <c r="M143" s="19">
        <f>IF(G143&lt;&gt;"",G143+6,"")</f>
        <v/>
      </c>
      <c r="N143" s="17" t="n"/>
      <c r="O143" s="17" t="n"/>
      <c r="P143" s="18" t="n"/>
    </row>
    <row r="144" ht="24" customHeight="1">
      <c r="A144" s="4" t="n">
        <v>141</v>
      </c>
      <c r="B144" s="4" t="n"/>
      <c r="C144" s="5" t="n"/>
      <c r="D144" s="5" t="n"/>
      <c r="E144" s="7" t="n"/>
      <c r="F144" s="7" t="n"/>
      <c r="G144" s="7" t="n"/>
      <c r="H144" s="4" t="n"/>
      <c r="I144" s="5" t="n"/>
      <c r="J144" s="4" t="n"/>
      <c r="K144" s="7">
        <f>IF(G144&lt;&gt;"",G144+3,"")</f>
        <v/>
      </c>
      <c r="L144" s="4" t="n"/>
      <c r="M144" s="7">
        <f>IF(G144&lt;&gt;"",G144+6,"")</f>
        <v/>
      </c>
      <c r="N144" s="4" t="n"/>
      <c r="O144" s="4" t="n"/>
      <c r="P144" s="5" t="n"/>
    </row>
    <row r="145" ht="24" customHeight="1">
      <c r="A145" s="17" t="n">
        <v>142</v>
      </c>
      <c r="B145" s="17" t="n"/>
      <c r="C145" s="18" t="n"/>
      <c r="D145" s="18" t="n"/>
      <c r="E145" s="19" t="n"/>
      <c r="F145" s="19" t="n"/>
      <c r="G145" s="19" t="n"/>
      <c r="H145" s="17" t="n"/>
      <c r="I145" s="18" t="n"/>
      <c r="J145" s="17" t="n"/>
      <c r="K145" s="19">
        <f>IF(G145&lt;&gt;"",G145+3,"")</f>
        <v/>
      </c>
      <c r="L145" s="17" t="n"/>
      <c r="M145" s="19">
        <f>IF(G145&lt;&gt;"",G145+6,"")</f>
        <v/>
      </c>
      <c r="N145" s="17" t="n"/>
      <c r="O145" s="17" t="n"/>
      <c r="P145" s="18" t="n"/>
    </row>
    <row r="146" ht="24" customHeight="1">
      <c r="A146" s="4" t="n">
        <v>143</v>
      </c>
      <c r="B146" s="4" t="n"/>
      <c r="C146" s="5" t="n"/>
      <c r="D146" s="5" t="n"/>
      <c r="E146" s="7" t="n"/>
      <c r="F146" s="7" t="n"/>
      <c r="G146" s="7" t="n"/>
      <c r="H146" s="4" t="n"/>
      <c r="I146" s="5" t="n"/>
      <c r="J146" s="4" t="n"/>
      <c r="K146" s="7">
        <f>IF(G146&lt;&gt;"",G146+3,"")</f>
        <v/>
      </c>
      <c r="L146" s="4" t="n"/>
      <c r="M146" s="7">
        <f>IF(G146&lt;&gt;"",G146+6,"")</f>
        <v/>
      </c>
      <c r="N146" s="4" t="n"/>
      <c r="O146" s="4" t="n"/>
      <c r="P146" s="5" t="n"/>
    </row>
    <row r="147" ht="24" customHeight="1">
      <c r="A147" s="17" t="n">
        <v>144</v>
      </c>
      <c r="B147" s="17" t="n"/>
      <c r="C147" s="18" t="n"/>
      <c r="D147" s="18" t="n"/>
      <c r="E147" s="19" t="n"/>
      <c r="F147" s="19" t="n"/>
      <c r="G147" s="19" t="n"/>
      <c r="H147" s="17" t="n"/>
      <c r="I147" s="18" t="n"/>
      <c r="J147" s="17" t="n"/>
      <c r="K147" s="19">
        <f>IF(G147&lt;&gt;"",G147+3,"")</f>
        <v/>
      </c>
      <c r="L147" s="17" t="n"/>
      <c r="M147" s="19">
        <f>IF(G147&lt;&gt;"",G147+6,"")</f>
        <v/>
      </c>
      <c r="N147" s="17" t="n"/>
      <c r="O147" s="17" t="n"/>
      <c r="P147" s="18" t="n"/>
    </row>
    <row r="148" ht="24" customHeight="1">
      <c r="A148" s="4" t="n">
        <v>145</v>
      </c>
      <c r="B148" s="4" t="n"/>
      <c r="C148" s="5" t="n"/>
      <c r="D148" s="5" t="n"/>
      <c r="E148" s="7" t="n"/>
      <c r="F148" s="7" t="n"/>
      <c r="G148" s="7" t="n"/>
      <c r="H148" s="4" t="n"/>
      <c r="I148" s="5" t="n"/>
      <c r="J148" s="4" t="n"/>
      <c r="K148" s="7">
        <f>IF(G148&lt;&gt;"",G148+3,"")</f>
        <v/>
      </c>
      <c r="L148" s="4" t="n"/>
      <c r="M148" s="7">
        <f>IF(G148&lt;&gt;"",G148+6,"")</f>
        <v/>
      </c>
      <c r="N148" s="4" t="n"/>
      <c r="O148" s="4" t="n"/>
      <c r="P148" s="5" t="n"/>
    </row>
    <row r="149" ht="24" customHeight="1">
      <c r="A149" s="17" t="n">
        <v>146</v>
      </c>
      <c r="B149" s="17" t="n"/>
      <c r="C149" s="18" t="n"/>
      <c r="D149" s="18" t="n"/>
      <c r="E149" s="19" t="n"/>
      <c r="F149" s="19" t="n"/>
      <c r="G149" s="19" t="n"/>
      <c r="H149" s="17" t="n"/>
      <c r="I149" s="18" t="n"/>
      <c r="J149" s="17" t="n"/>
      <c r="K149" s="19">
        <f>IF(G149&lt;&gt;"",G149+3,"")</f>
        <v/>
      </c>
      <c r="L149" s="17" t="n"/>
      <c r="M149" s="19">
        <f>IF(G149&lt;&gt;"",G149+6,"")</f>
        <v/>
      </c>
      <c r="N149" s="17" t="n"/>
      <c r="O149" s="17" t="n"/>
      <c r="P149" s="18" t="n"/>
    </row>
    <row r="150" ht="24" customHeight="1">
      <c r="A150" s="4" t="n">
        <v>147</v>
      </c>
      <c r="B150" s="4" t="n"/>
      <c r="C150" s="5" t="n"/>
      <c r="D150" s="5" t="n"/>
      <c r="E150" s="7" t="n"/>
      <c r="F150" s="7" t="n"/>
      <c r="G150" s="7" t="n"/>
      <c r="H150" s="4" t="n"/>
      <c r="I150" s="5" t="n"/>
      <c r="J150" s="4" t="n"/>
      <c r="K150" s="7">
        <f>IF(G150&lt;&gt;"",G150+3,"")</f>
        <v/>
      </c>
      <c r="L150" s="4" t="n"/>
      <c r="M150" s="7">
        <f>IF(G150&lt;&gt;"",G150+6,"")</f>
        <v/>
      </c>
      <c r="N150" s="4" t="n"/>
      <c r="O150" s="4" t="n"/>
      <c r="P150" s="5" t="n"/>
    </row>
    <row r="151" ht="24" customHeight="1">
      <c r="A151" s="17" t="n">
        <v>148</v>
      </c>
      <c r="B151" s="17" t="n"/>
      <c r="C151" s="18" t="n"/>
      <c r="D151" s="18" t="n"/>
      <c r="E151" s="19" t="n"/>
      <c r="F151" s="19" t="n"/>
      <c r="G151" s="19" t="n"/>
      <c r="H151" s="17" t="n"/>
      <c r="I151" s="18" t="n"/>
      <c r="J151" s="17" t="n"/>
      <c r="K151" s="19">
        <f>IF(G151&lt;&gt;"",G151+3,"")</f>
        <v/>
      </c>
      <c r="L151" s="17" t="n"/>
      <c r="M151" s="19">
        <f>IF(G151&lt;&gt;"",G151+6,"")</f>
        <v/>
      </c>
      <c r="N151" s="17" t="n"/>
      <c r="O151" s="17" t="n"/>
      <c r="P151" s="18" t="n"/>
    </row>
    <row r="152" ht="24" customHeight="1">
      <c r="A152" s="4" t="n">
        <v>149</v>
      </c>
      <c r="B152" s="4" t="n"/>
      <c r="C152" s="5" t="n"/>
      <c r="D152" s="5" t="n"/>
      <c r="E152" s="7" t="n"/>
      <c r="F152" s="7" t="n"/>
      <c r="G152" s="7" t="n"/>
      <c r="H152" s="4" t="n"/>
      <c r="I152" s="5" t="n"/>
      <c r="J152" s="4" t="n"/>
      <c r="K152" s="7">
        <f>IF(G152&lt;&gt;"",G152+3,"")</f>
        <v/>
      </c>
      <c r="L152" s="4" t="n"/>
      <c r="M152" s="7">
        <f>IF(G152&lt;&gt;"",G152+6,"")</f>
        <v/>
      </c>
      <c r="N152" s="4" t="n"/>
      <c r="O152" s="4" t="n"/>
      <c r="P152" s="5" t="n"/>
    </row>
    <row r="153" ht="24" customHeight="1">
      <c r="A153" s="17" t="n">
        <v>150</v>
      </c>
      <c r="B153" s="17" t="n"/>
      <c r="C153" s="18" t="n"/>
      <c r="D153" s="18" t="n"/>
      <c r="E153" s="19" t="n"/>
      <c r="F153" s="19" t="n"/>
      <c r="G153" s="19" t="n"/>
      <c r="H153" s="17" t="n"/>
      <c r="I153" s="18" t="n"/>
      <c r="J153" s="17" t="n"/>
      <c r="K153" s="19">
        <f>IF(G153&lt;&gt;"",G153+3,"")</f>
        <v/>
      </c>
      <c r="L153" s="17" t="n"/>
      <c r="M153" s="19">
        <f>IF(G153&lt;&gt;"",G153+6,"")</f>
        <v/>
      </c>
      <c r="N153" s="17" t="n"/>
      <c r="O153" s="17" t="n"/>
      <c r="P153" s="18" t="n"/>
    </row>
    <row r="154" ht="24" customHeight="1">
      <c r="A154" s="4" t="n">
        <v>151</v>
      </c>
      <c r="B154" s="4" t="n"/>
      <c r="C154" s="5" t="n"/>
      <c r="D154" s="5" t="n"/>
      <c r="E154" s="7" t="n"/>
      <c r="F154" s="7" t="n"/>
      <c r="G154" s="7" t="n"/>
      <c r="H154" s="4" t="n"/>
      <c r="I154" s="5" t="n"/>
      <c r="J154" s="4" t="n"/>
      <c r="K154" s="7">
        <f>IF(G154&lt;&gt;"",G154+3,"")</f>
        <v/>
      </c>
      <c r="L154" s="4" t="n"/>
      <c r="M154" s="7">
        <f>IF(G154&lt;&gt;"",G154+6,"")</f>
        <v/>
      </c>
      <c r="N154" s="4" t="n"/>
      <c r="O154" s="4" t="n"/>
      <c r="P154" s="5" t="n"/>
    </row>
    <row r="155" ht="24" customHeight="1">
      <c r="A155" s="17" t="n">
        <v>152</v>
      </c>
      <c r="B155" s="17" t="n"/>
      <c r="C155" s="18" t="n"/>
      <c r="D155" s="18" t="n"/>
      <c r="E155" s="19" t="n"/>
      <c r="F155" s="19" t="n"/>
      <c r="G155" s="19" t="n"/>
      <c r="H155" s="17" t="n"/>
      <c r="I155" s="18" t="n"/>
      <c r="J155" s="17" t="n"/>
      <c r="K155" s="19">
        <f>IF(G155&lt;&gt;"",G155+3,"")</f>
        <v/>
      </c>
      <c r="L155" s="17" t="n"/>
      <c r="M155" s="19">
        <f>IF(G155&lt;&gt;"",G155+6,"")</f>
        <v/>
      </c>
      <c r="N155" s="17" t="n"/>
      <c r="O155" s="17" t="n"/>
      <c r="P155" s="18" t="n"/>
    </row>
    <row r="156" ht="24" customHeight="1">
      <c r="A156" s="4" t="n">
        <v>153</v>
      </c>
      <c r="B156" s="4" t="n"/>
      <c r="C156" s="5" t="n"/>
      <c r="D156" s="5" t="n"/>
      <c r="E156" s="7" t="n"/>
      <c r="F156" s="7" t="n"/>
      <c r="G156" s="7" t="n"/>
      <c r="H156" s="4" t="n"/>
      <c r="I156" s="5" t="n"/>
      <c r="J156" s="4" t="n"/>
      <c r="K156" s="7">
        <f>IF(G156&lt;&gt;"",G156+3,"")</f>
        <v/>
      </c>
      <c r="L156" s="4" t="n"/>
      <c r="M156" s="7">
        <f>IF(G156&lt;&gt;"",G156+6,"")</f>
        <v/>
      </c>
      <c r="N156" s="4" t="n"/>
      <c r="O156" s="4" t="n"/>
      <c r="P156" s="5" t="n"/>
    </row>
    <row r="157" ht="24" customHeight="1">
      <c r="A157" s="17" t="n">
        <v>154</v>
      </c>
      <c r="B157" s="17" t="n"/>
      <c r="C157" s="18" t="n"/>
      <c r="D157" s="18" t="n"/>
      <c r="E157" s="19" t="n"/>
      <c r="F157" s="19" t="n"/>
      <c r="G157" s="19" t="n"/>
      <c r="H157" s="17" t="n"/>
      <c r="I157" s="18" t="n"/>
      <c r="J157" s="17" t="n"/>
      <c r="K157" s="19">
        <f>IF(G157&lt;&gt;"",G157+3,"")</f>
        <v/>
      </c>
      <c r="L157" s="17" t="n"/>
      <c r="M157" s="19">
        <f>IF(G157&lt;&gt;"",G157+6,"")</f>
        <v/>
      </c>
      <c r="N157" s="17" t="n"/>
      <c r="O157" s="17" t="n"/>
      <c r="P157" s="18" t="n"/>
    </row>
    <row r="158" ht="24" customHeight="1">
      <c r="A158" s="4" t="n">
        <v>155</v>
      </c>
      <c r="B158" s="4" t="n"/>
      <c r="C158" s="5" t="n"/>
      <c r="D158" s="5" t="n"/>
      <c r="E158" s="7" t="n"/>
      <c r="F158" s="7" t="n"/>
      <c r="G158" s="7" t="n"/>
      <c r="H158" s="4" t="n"/>
      <c r="I158" s="5" t="n"/>
      <c r="J158" s="4" t="n"/>
      <c r="K158" s="7">
        <f>IF(G158&lt;&gt;"",G158+3,"")</f>
        <v/>
      </c>
      <c r="L158" s="4" t="n"/>
      <c r="M158" s="7">
        <f>IF(G158&lt;&gt;"",G158+6,"")</f>
        <v/>
      </c>
      <c r="N158" s="4" t="n"/>
      <c r="O158" s="4" t="n"/>
      <c r="P158" s="5" t="n"/>
    </row>
    <row r="159" ht="24" customHeight="1">
      <c r="A159" s="17" t="n">
        <v>156</v>
      </c>
      <c r="B159" s="17" t="n"/>
      <c r="C159" s="18" t="n"/>
      <c r="D159" s="18" t="n"/>
      <c r="E159" s="19" t="n"/>
      <c r="F159" s="19" t="n"/>
      <c r="G159" s="19" t="n"/>
      <c r="H159" s="17" t="n"/>
      <c r="I159" s="18" t="n"/>
      <c r="J159" s="17" t="n"/>
      <c r="K159" s="19">
        <f>IF(G159&lt;&gt;"",G159+3,"")</f>
        <v/>
      </c>
      <c r="L159" s="17" t="n"/>
      <c r="M159" s="19">
        <f>IF(G159&lt;&gt;"",G159+6,"")</f>
        <v/>
      </c>
      <c r="N159" s="17" t="n"/>
      <c r="O159" s="17" t="n"/>
      <c r="P159" s="18" t="n"/>
    </row>
    <row r="160" ht="24" customHeight="1">
      <c r="A160" s="4" t="n">
        <v>157</v>
      </c>
      <c r="B160" s="4" t="n"/>
      <c r="C160" s="5" t="n"/>
      <c r="D160" s="5" t="n"/>
      <c r="E160" s="7" t="n"/>
      <c r="F160" s="7" t="n"/>
      <c r="G160" s="7" t="n"/>
      <c r="H160" s="4" t="n"/>
      <c r="I160" s="5" t="n"/>
      <c r="J160" s="4" t="n"/>
      <c r="K160" s="7">
        <f>IF(G160&lt;&gt;"",G160+3,"")</f>
        <v/>
      </c>
      <c r="L160" s="4" t="n"/>
      <c r="M160" s="7">
        <f>IF(G160&lt;&gt;"",G160+6,"")</f>
        <v/>
      </c>
      <c r="N160" s="4" t="n"/>
      <c r="O160" s="4" t="n"/>
      <c r="P160" s="5" t="n"/>
    </row>
    <row r="161" ht="24" customHeight="1">
      <c r="A161" s="17" t="n">
        <v>158</v>
      </c>
      <c r="B161" s="17" t="n"/>
      <c r="C161" s="18" t="n"/>
      <c r="D161" s="18" t="n"/>
      <c r="E161" s="19" t="n"/>
      <c r="F161" s="19" t="n"/>
      <c r="G161" s="19" t="n"/>
      <c r="H161" s="17" t="n"/>
      <c r="I161" s="18" t="n"/>
      <c r="J161" s="17" t="n"/>
      <c r="K161" s="19">
        <f>IF(G161&lt;&gt;"",G161+3,"")</f>
        <v/>
      </c>
      <c r="L161" s="17" t="n"/>
      <c r="M161" s="19">
        <f>IF(G161&lt;&gt;"",G161+6,"")</f>
        <v/>
      </c>
      <c r="N161" s="17" t="n"/>
      <c r="O161" s="17" t="n"/>
      <c r="P161" s="18" t="n"/>
    </row>
    <row r="162" ht="24" customHeight="1">
      <c r="A162" s="4" t="n">
        <v>159</v>
      </c>
      <c r="B162" s="4" t="n"/>
      <c r="C162" s="5" t="n"/>
      <c r="D162" s="5" t="n"/>
      <c r="E162" s="7" t="n"/>
      <c r="F162" s="7" t="n"/>
      <c r="G162" s="7" t="n"/>
      <c r="H162" s="4" t="n"/>
      <c r="I162" s="5" t="n"/>
      <c r="J162" s="4" t="n"/>
      <c r="K162" s="7">
        <f>IF(G162&lt;&gt;"",G162+3,"")</f>
        <v/>
      </c>
      <c r="L162" s="4" t="n"/>
      <c r="M162" s="7">
        <f>IF(G162&lt;&gt;"",G162+6,"")</f>
        <v/>
      </c>
      <c r="N162" s="4" t="n"/>
      <c r="O162" s="4" t="n"/>
      <c r="P162" s="5" t="n"/>
    </row>
    <row r="163" ht="24" customHeight="1">
      <c r="A163" s="17" t="n">
        <v>160</v>
      </c>
      <c r="B163" s="17" t="n"/>
      <c r="C163" s="18" t="n"/>
      <c r="D163" s="18" t="n"/>
      <c r="E163" s="19" t="n"/>
      <c r="F163" s="19" t="n"/>
      <c r="G163" s="19" t="n"/>
      <c r="H163" s="17" t="n"/>
      <c r="I163" s="18" t="n"/>
      <c r="J163" s="17" t="n"/>
      <c r="K163" s="19">
        <f>IF(G163&lt;&gt;"",G163+3,"")</f>
        <v/>
      </c>
      <c r="L163" s="17" t="n"/>
      <c r="M163" s="19">
        <f>IF(G163&lt;&gt;"",G163+6,"")</f>
        <v/>
      </c>
      <c r="N163" s="17" t="n"/>
      <c r="O163" s="17" t="n"/>
      <c r="P163" s="18" t="n"/>
    </row>
    <row r="164" ht="24" customHeight="1">
      <c r="A164" s="4" t="n">
        <v>161</v>
      </c>
      <c r="B164" s="4" t="n"/>
      <c r="C164" s="5" t="n"/>
      <c r="D164" s="5" t="n"/>
      <c r="E164" s="7" t="n"/>
      <c r="F164" s="7" t="n"/>
      <c r="G164" s="7" t="n"/>
      <c r="H164" s="4" t="n"/>
      <c r="I164" s="5" t="n"/>
      <c r="J164" s="4" t="n"/>
      <c r="K164" s="7">
        <f>IF(G164&lt;&gt;"",G164+3,"")</f>
        <v/>
      </c>
      <c r="L164" s="4" t="n"/>
      <c r="M164" s="7">
        <f>IF(G164&lt;&gt;"",G164+6,"")</f>
        <v/>
      </c>
      <c r="N164" s="4" t="n"/>
      <c r="O164" s="4" t="n"/>
      <c r="P164" s="5" t="n"/>
    </row>
    <row r="165" ht="24" customHeight="1">
      <c r="A165" s="17" t="n">
        <v>162</v>
      </c>
      <c r="B165" s="17" t="n"/>
      <c r="C165" s="18" t="n"/>
      <c r="D165" s="18" t="n"/>
      <c r="E165" s="19" t="n"/>
      <c r="F165" s="19" t="n"/>
      <c r="G165" s="19" t="n"/>
      <c r="H165" s="17" t="n"/>
      <c r="I165" s="18" t="n"/>
      <c r="J165" s="17" t="n"/>
      <c r="K165" s="19">
        <f>IF(G165&lt;&gt;"",G165+3,"")</f>
        <v/>
      </c>
      <c r="L165" s="17" t="n"/>
      <c r="M165" s="19">
        <f>IF(G165&lt;&gt;"",G165+6,"")</f>
        <v/>
      </c>
      <c r="N165" s="17" t="n"/>
      <c r="O165" s="17" t="n"/>
      <c r="P165" s="18" t="n"/>
    </row>
    <row r="166" ht="24" customHeight="1">
      <c r="A166" s="4" t="n">
        <v>163</v>
      </c>
      <c r="B166" s="4" t="n"/>
      <c r="C166" s="5" t="n"/>
      <c r="D166" s="5" t="n"/>
      <c r="E166" s="7" t="n"/>
      <c r="F166" s="7" t="n"/>
      <c r="G166" s="7" t="n"/>
      <c r="H166" s="4" t="n"/>
      <c r="I166" s="5" t="n"/>
      <c r="J166" s="4" t="n"/>
      <c r="K166" s="7">
        <f>IF(G166&lt;&gt;"",G166+3,"")</f>
        <v/>
      </c>
      <c r="L166" s="4" t="n"/>
      <c r="M166" s="7">
        <f>IF(G166&lt;&gt;"",G166+6,"")</f>
        <v/>
      </c>
      <c r="N166" s="4" t="n"/>
      <c r="O166" s="4" t="n"/>
      <c r="P166" s="5" t="n"/>
    </row>
    <row r="167" ht="24" customHeight="1">
      <c r="A167" s="17" t="n">
        <v>164</v>
      </c>
      <c r="B167" s="17" t="n"/>
      <c r="C167" s="18" t="n"/>
      <c r="D167" s="18" t="n"/>
      <c r="E167" s="19" t="n"/>
      <c r="F167" s="19" t="n"/>
      <c r="G167" s="19" t="n"/>
      <c r="H167" s="17" t="n"/>
      <c r="I167" s="18" t="n"/>
      <c r="J167" s="17" t="n"/>
      <c r="K167" s="19">
        <f>IF(G167&lt;&gt;"",G167+3,"")</f>
        <v/>
      </c>
      <c r="L167" s="17" t="n"/>
      <c r="M167" s="19">
        <f>IF(G167&lt;&gt;"",G167+6,"")</f>
        <v/>
      </c>
      <c r="N167" s="17" t="n"/>
      <c r="O167" s="17" t="n"/>
      <c r="P167" s="18" t="n"/>
    </row>
    <row r="168" ht="24" customHeight="1">
      <c r="A168" s="4" t="n">
        <v>165</v>
      </c>
      <c r="B168" s="4" t="n"/>
      <c r="C168" s="5" t="n"/>
      <c r="D168" s="5" t="n"/>
      <c r="E168" s="7" t="n"/>
      <c r="F168" s="7" t="n"/>
      <c r="G168" s="7" t="n"/>
      <c r="H168" s="4" t="n"/>
      <c r="I168" s="5" t="n"/>
      <c r="J168" s="4" t="n"/>
      <c r="K168" s="7">
        <f>IF(G168&lt;&gt;"",G168+3,"")</f>
        <v/>
      </c>
      <c r="L168" s="4" t="n"/>
      <c r="M168" s="7">
        <f>IF(G168&lt;&gt;"",G168+6,"")</f>
        <v/>
      </c>
      <c r="N168" s="4" t="n"/>
      <c r="O168" s="4" t="n"/>
      <c r="P168" s="5" t="n"/>
    </row>
    <row r="169" ht="24" customHeight="1">
      <c r="A169" s="17" t="n">
        <v>166</v>
      </c>
      <c r="B169" s="17" t="n"/>
      <c r="C169" s="18" t="n"/>
      <c r="D169" s="18" t="n"/>
      <c r="E169" s="19" t="n"/>
      <c r="F169" s="19" t="n"/>
      <c r="G169" s="19" t="n"/>
      <c r="H169" s="17" t="n"/>
      <c r="I169" s="18" t="n"/>
      <c r="J169" s="17" t="n"/>
      <c r="K169" s="19">
        <f>IF(G169&lt;&gt;"",G169+3,"")</f>
        <v/>
      </c>
      <c r="L169" s="17" t="n"/>
      <c r="M169" s="19">
        <f>IF(G169&lt;&gt;"",G169+6,"")</f>
        <v/>
      </c>
      <c r="N169" s="17" t="n"/>
      <c r="O169" s="17" t="n"/>
      <c r="P169" s="18" t="n"/>
    </row>
    <row r="170" ht="24" customHeight="1">
      <c r="A170" s="4" t="n">
        <v>167</v>
      </c>
      <c r="B170" s="4" t="n"/>
      <c r="C170" s="5" t="n"/>
      <c r="D170" s="5" t="n"/>
      <c r="E170" s="7" t="n"/>
      <c r="F170" s="7" t="n"/>
      <c r="G170" s="7" t="n"/>
      <c r="H170" s="4" t="n"/>
      <c r="I170" s="5" t="n"/>
      <c r="J170" s="4" t="n"/>
      <c r="K170" s="7">
        <f>IF(G170&lt;&gt;"",G170+3,"")</f>
        <v/>
      </c>
      <c r="L170" s="4" t="n"/>
      <c r="M170" s="7">
        <f>IF(G170&lt;&gt;"",G170+6,"")</f>
        <v/>
      </c>
      <c r="N170" s="4" t="n"/>
      <c r="O170" s="4" t="n"/>
      <c r="P170" s="5" t="n"/>
    </row>
    <row r="171" ht="24" customHeight="1">
      <c r="A171" s="17" t="n">
        <v>168</v>
      </c>
      <c r="B171" s="17" t="n"/>
      <c r="C171" s="18" t="n"/>
      <c r="D171" s="18" t="n"/>
      <c r="E171" s="19" t="n"/>
      <c r="F171" s="19" t="n"/>
      <c r="G171" s="19" t="n"/>
      <c r="H171" s="17" t="n"/>
      <c r="I171" s="18" t="n"/>
      <c r="J171" s="17" t="n"/>
      <c r="K171" s="19">
        <f>IF(G171&lt;&gt;"",G171+3,"")</f>
        <v/>
      </c>
      <c r="L171" s="17" t="n"/>
      <c r="M171" s="19">
        <f>IF(G171&lt;&gt;"",G171+6,"")</f>
        <v/>
      </c>
      <c r="N171" s="17" t="n"/>
      <c r="O171" s="17" t="n"/>
      <c r="P171" s="18" t="n"/>
    </row>
    <row r="172" ht="24" customHeight="1">
      <c r="A172" s="4" t="n">
        <v>169</v>
      </c>
      <c r="B172" s="4" t="n"/>
      <c r="C172" s="5" t="n"/>
      <c r="D172" s="5" t="n"/>
      <c r="E172" s="7" t="n"/>
      <c r="F172" s="7" t="n"/>
      <c r="G172" s="7" t="n"/>
      <c r="H172" s="4" t="n"/>
      <c r="I172" s="5" t="n"/>
      <c r="J172" s="4" t="n"/>
      <c r="K172" s="7">
        <f>IF(G172&lt;&gt;"",G172+3,"")</f>
        <v/>
      </c>
      <c r="L172" s="4" t="n"/>
      <c r="M172" s="7">
        <f>IF(G172&lt;&gt;"",G172+6,"")</f>
        <v/>
      </c>
      <c r="N172" s="4" t="n"/>
      <c r="O172" s="4" t="n"/>
      <c r="P172" s="5" t="n"/>
    </row>
    <row r="173" ht="24" customHeight="1">
      <c r="A173" s="17" t="n">
        <v>170</v>
      </c>
      <c r="B173" s="17" t="n"/>
      <c r="C173" s="18" t="n"/>
      <c r="D173" s="18" t="n"/>
      <c r="E173" s="19" t="n"/>
      <c r="F173" s="19" t="n"/>
      <c r="G173" s="19" t="n"/>
      <c r="H173" s="17" t="n"/>
      <c r="I173" s="18" t="n"/>
      <c r="J173" s="17" t="n"/>
      <c r="K173" s="19">
        <f>IF(G173&lt;&gt;"",G173+3,"")</f>
        <v/>
      </c>
      <c r="L173" s="17" t="n"/>
      <c r="M173" s="19">
        <f>IF(G173&lt;&gt;"",G173+6,"")</f>
        <v/>
      </c>
      <c r="N173" s="17" t="n"/>
      <c r="O173" s="17" t="n"/>
      <c r="P173" s="18" t="n"/>
    </row>
    <row r="174" ht="24" customHeight="1">
      <c r="A174" s="4" t="n">
        <v>171</v>
      </c>
      <c r="B174" s="4" t="n"/>
      <c r="C174" s="5" t="n"/>
      <c r="D174" s="5" t="n"/>
      <c r="E174" s="7" t="n"/>
      <c r="F174" s="7" t="n"/>
      <c r="G174" s="7" t="n"/>
      <c r="H174" s="4" t="n"/>
      <c r="I174" s="5" t="n"/>
      <c r="J174" s="4" t="n"/>
      <c r="K174" s="7">
        <f>IF(G174&lt;&gt;"",G174+3,"")</f>
        <v/>
      </c>
      <c r="L174" s="4" t="n"/>
      <c r="M174" s="7">
        <f>IF(G174&lt;&gt;"",G174+6,"")</f>
        <v/>
      </c>
      <c r="N174" s="4" t="n"/>
      <c r="O174" s="4" t="n"/>
      <c r="P174" s="5" t="n"/>
    </row>
    <row r="175" ht="24" customHeight="1">
      <c r="A175" s="17" t="n">
        <v>172</v>
      </c>
      <c r="B175" s="17" t="n"/>
      <c r="C175" s="18" t="n"/>
      <c r="D175" s="18" t="n"/>
      <c r="E175" s="19" t="n"/>
      <c r="F175" s="19" t="n"/>
      <c r="G175" s="19" t="n"/>
      <c r="H175" s="17" t="n"/>
      <c r="I175" s="18" t="n"/>
      <c r="J175" s="17" t="n"/>
      <c r="K175" s="19">
        <f>IF(G175&lt;&gt;"",G175+3,"")</f>
        <v/>
      </c>
      <c r="L175" s="17" t="n"/>
      <c r="M175" s="19">
        <f>IF(G175&lt;&gt;"",G175+6,"")</f>
        <v/>
      </c>
      <c r="N175" s="17" t="n"/>
      <c r="O175" s="17" t="n"/>
      <c r="P175" s="18" t="n"/>
    </row>
    <row r="176" ht="24" customHeight="1">
      <c r="A176" s="4" t="n">
        <v>173</v>
      </c>
      <c r="B176" s="4" t="n"/>
      <c r="C176" s="5" t="n"/>
      <c r="D176" s="5" t="n"/>
      <c r="E176" s="7" t="n"/>
      <c r="F176" s="7" t="n"/>
      <c r="G176" s="7" t="n"/>
      <c r="H176" s="4" t="n"/>
      <c r="I176" s="5" t="n"/>
      <c r="J176" s="4" t="n"/>
      <c r="K176" s="7">
        <f>IF(G176&lt;&gt;"",G176+3,"")</f>
        <v/>
      </c>
      <c r="L176" s="4" t="n"/>
      <c r="M176" s="7">
        <f>IF(G176&lt;&gt;"",G176+6,"")</f>
        <v/>
      </c>
      <c r="N176" s="4" t="n"/>
      <c r="O176" s="4" t="n"/>
      <c r="P176" s="5" t="n"/>
    </row>
    <row r="177" ht="24" customHeight="1">
      <c r="A177" s="17" t="n">
        <v>174</v>
      </c>
      <c r="B177" s="17" t="n"/>
      <c r="C177" s="18" t="n"/>
      <c r="D177" s="18" t="n"/>
      <c r="E177" s="19" t="n"/>
      <c r="F177" s="19" t="n"/>
      <c r="G177" s="19" t="n"/>
      <c r="H177" s="17" t="n"/>
      <c r="I177" s="18" t="n"/>
      <c r="J177" s="17" t="n"/>
      <c r="K177" s="19">
        <f>IF(G177&lt;&gt;"",G177+3,"")</f>
        <v/>
      </c>
      <c r="L177" s="17" t="n"/>
      <c r="M177" s="19">
        <f>IF(G177&lt;&gt;"",G177+6,"")</f>
        <v/>
      </c>
      <c r="N177" s="17" t="n"/>
      <c r="O177" s="17" t="n"/>
      <c r="P177" s="18" t="n"/>
    </row>
    <row r="178" ht="24" customHeight="1">
      <c r="A178" s="4" t="n">
        <v>175</v>
      </c>
      <c r="B178" s="4" t="n"/>
      <c r="C178" s="5" t="n"/>
      <c r="D178" s="5" t="n"/>
      <c r="E178" s="7" t="n"/>
      <c r="F178" s="7" t="n"/>
      <c r="G178" s="7" t="n"/>
      <c r="H178" s="4" t="n"/>
      <c r="I178" s="5" t="n"/>
      <c r="J178" s="4" t="n"/>
      <c r="K178" s="7">
        <f>IF(G178&lt;&gt;"",G178+3,"")</f>
        <v/>
      </c>
      <c r="L178" s="4" t="n"/>
      <c r="M178" s="7">
        <f>IF(G178&lt;&gt;"",G178+6,"")</f>
        <v/>
      </c>
      <c r="N178" s="4" t="n"/>
      <c r="O178" s="4" t="n"/>
      <c r="P178" s="5" t="n"/>
    </row>
    <row r="179" ht="24" customHeight="1">
      <c r="A179" s="17" t="n">
        <v>176</v>
      </c>
      <c r="B179" s="17" t="n"/>
      <c r="C179" s="18" t="n"/>
      <c r="D179" s="18" t="n"/>
      <c r="E179" s="19" t="n"/>
      <c r="F179" s="19" t="n"/>
      <c r="G179" s="19" t="n"/>
      <c r="H179" s="17" t="n"/>
      <c r="I179" s="18" t="n"/>
      <c r="J179" s="17" t="n"/>
      <c r="K179" s="19">
        <f>IF(G179&lt;&gt;"",G179+3,"")</f>
        <v/>
      </c>
      <c r="L179" s="17" t="n"/>
      <c r="M179" s="19">
        <f>IF(G179&lt;&gt;"",G179+6,"")</f>
        <v/>
      </c>
      <c r="N179" s="17" t="n"/>
      <c r="O179" s="17" t="n"/>
      <c r="P179" s="18" t="n"/>
    </row>
    <row r="180" ht="24" customHeight="1">
      <c r="A180" s="4" t="n">
        <v>177</v>
      </c>
      <c r="B180" s="4" t="n"/>
      <c r="C180" s="5" t="n"/>
      <c r="D180" s="5" t="n"/>
      <c r="E180" s="7" t="n"/>
      <c r="F180" s="7" t="n"/>
      <c r="G180" s="7" t="n"/>
      <c r="H180" s="4" t="n"/>
      <c r="I180" s="5" t="n"/>
      <c r="J180" s="4" t="n"/>
      <c r="K180" s="7">
        <f>IF(G180&lt;&gt;"",G180+3,"")</f>
        <v/>
      </c>
      <c r="L180" s="4" t="n"/>
      <c r="M180" s="7">
        <f>IF(G180&lt;&gt;"",G180+6,"")</f>
        <v/>
      </c>
      <c r="N180" s="4" t="n"/>
      <c r="O180" s="4" t="n"/>
      <c r="P180" s="5" t="n"/>
    </row>
    <row r="181" ht="24" customHeight="1">
      <c r="A181" s="17" t="n">
        <v>178</v>
      </c>
      <c r="B181" s="17" t="n"/>
      <c r="C181" s="18" t="n"/>
      <c r="D181" s="18" t="n"/>
      <c r="E181" s="19" t="n"/>
      <c r="F181" s="19" t="n"/>
      <c r="G181" s="19" t="n"/>
      <c r="H181" s="17" t="n"/>
      <c r="I181" s="18" t="n"/>
      <c r="J181" s="17" t="n"/>
      <c r="K181" s="19">
        <f>IF(G181&lt;&gt;"",G181+3,"")</f>
        <v/>
      </c>
      <c r="L181" s="17" t="n"/>
      <c r="M181" s="19">
        <f>IF(G181&lt;&gt;"",G181+6,"")</f>
        <v/>
      </c>
      <c r="N181" s="17" t="n"/>
      <c r="O181" s="17" t="n"/>
      <c r="P181" s="18" t="n"/>
    </row>
    <row r="182" ht="24" customHeight="1">
      <c r="A182" s="4" t="n">
        <v>179</v>
      </c>
      <c r="B182" s="4" t="n"/>
      <c r="C182" s="5" t="n"/>
      <c r="D182" s="5" t="n"/>
      <c r="E182" s="7" t="n"/>
      <c r="F182" s="7" t="n"/>
      <c r="G182" s="7" t="n"/>
      <c r="H182" s="4" t="n"/>
      <c r="I182" s="5" t="n"/>
      <c r="J182" s="4" t="n"/>
      <c r="K182" s="7">
        <f>IF(G182&lt;&gt;"",G182+3,"")</f>
        <v/>
      </c>
      <c r="L182" s="4" t="n"/>
      <c r="M182" s="7">
        <f>IF(G182&lt;&gt;"",G182+6,"")</f>
        <v/>
      </c>
      <c r="N182" s="4" t="n"/>
      <c r="O182" s="4" t="n"/>
      <c r="P182" s="5" t="n"/>
    </row>
    <row r="183" ht="24" customHeight="1">
      <c r="A183" s="17" t="n">
        <v>180</v>
      </c>
      <c r="B183" s="17" t="n"/>
      <c r="C183" s="18" t="n"/>
      <c r="D183" s="18" t="n"/>
      <c r="E183" s="19" t="n"/>
      <c r="F183" s="19" t="n"/>
      <c r="G183" s="19" t="n"/>
      <c r="H183" s="17" t="n"/>
      <c r="I183" s="18" t="n"/>
      <c r="J183" s="17" t="n"/>
      <c r="K183" s="19">
        <f>IF(G183&lt;&gt;"",G183+3,"")</f>
        <v/>
      </c>
      <c r="L183" s="17" t="n"/>
      <c r="M183" s="19">
        <f>IF(G183&lt;&gt;"",G183+6,"")</f>
        <v/>
      </c>
      <c r="N183" s="17" t="n"/>
      <c r="O183" s="17" t="n"/>
      <c r="P183" s="18" t="n"/>
    </row>
    <row r="184" ht="24" customHeight="1">
      <c r="A184" s="4" t="n">
        <v>181</v>
      </c>
      <c r="B184" s="4" t="n"/>
      <c r="C184" s="5" t="n"/>
      <c r="D184" s="5" t="n"/>
      <c r="E184" s="7" t="n"/>
      <c r="F184" s="7" t="n"/>
      <c r="G184" s="7" t="n"/>
      <c r="H184" s="4" t="n"/>
      <c r="I184" s="5" t="n"/>
      <c r="J184" s="4" t="n"/>
      <c r="K184" s="7">
        <f>IF(G184&lt;&gt;"",G184+3,"")</f>
        <v/>
      </c>
      <c r="L184" s="4" t="n"/>
      <c r="M184" s="7">
        <f>IF(G184&lt;&gt;"",G184+6,"")</f>
        <v/>
      </c>
      <c r="N184" s="4" t="n"/>
      <c r="O184" s="4" t="n"/>
      <c r="P184" s="5" t="n"/>
    </row>
    <row r="185" ht="24" customHeight="1">
      <c r="A185" s="17" t="n">
        <v>182</v>
      </c>
      <c r="B185" s="17" t="n"/>
      <c r="C185" s="18" t="n"/>
      <c r="D185" s="18" t="n"/>
      <c r="E185" s="19" t="n"/>
      <c r="F185" s="19" t="n"/>
      <c r="G185" s="19" t="n"/>
      <c r="H185" s="17" t="n"/>
      <c r="I185" s="18" t="n"/>
      <c r="J185" s="17" t="n"/>
      <c r="K185" s="19">
        <f>IF(G185&lt;&gt;"",G185+3,"")</f>
        <v/>
      </c>
      <c r="L185" s="17" t="n"/>
      <c r="M185" s="19">
        <f>IF(G185&lt;&gt;"",G185+6,"")</f>
        <v/>
      </c>
      <c r="N185" s="17" t="n"/>
      <c r="O185" s="17" t="n"/>
      <c r="P185" s="18" t="n"/>
    </row>
    <row r="186" ht="24" customHeight="1">
      <c r="A186" s="4" t="n">
        <v>183</v>
      </c>
      <c r="B186" s="4" t="n"/>
      <c r="C186" s="5" t="n"/>
      <c r="D186" s="5" t="n"/>
      <c r="E186" s="7" t="n"/>
      <c r="F186" s="7" t="n"/>
      <c r="G186" s="7" t="n"/>
      <c r="H186" s="4" t="n"/>
      <c r="I186" s="5" t="n"/>
      <c r="J186" s="4" t="n"/>
      <c r="K186" s="7">
        <f>IF(G186&lt;&gt;"",G186+3,"")</f>
        <v/>
      </c>
      <c r="L186" s="4" t="n"/>
      <c r="M186" s="7">
        <f>IF(G186&lt;&gt;"",G186+6,"")</f>
        <v/>
      </c>
      <c r="N186" s="4" t="n"/>
      <c r="O186" s="4" t="n"/>
      <c r="P186" s="5" t="n"/>
    </row>
    <row r="187" ht="24" customHeight="1">
      <c r="A187" s="17" t="n">
        <v>184</v>
      </c>
      <c r="B187" s="17" t="n"/>
      <c r="C187" s="18" t="n"/>
      <c r="D187" s="18" t="n"/>
      <c r="E187" s="19" t="n"/>
      <c r="F187" s="19" t="n"/>
      <c r="G187" s="19" t="n"/>
      <c r="H187" s="17" t="n"/>
      <c r="I187" s="18" t="n"/>
      <c r="J187" s="17" t="n"/>
      <c r="K187" s="19">
        <f>IF(G187&lt;&gt;"",G187+3,"")</f>
        <v/>
      </c>
      <c r="L187" s="17" t="n"/>
      <c r="M187" s="19">
        <f>IF(G187&lt;&gt;"",G187+6,"")</f>
        <v/>
      </c>
      <c r="N187" s="17" t="n"/>
      <c r="O187" s="17" t="n"/>
      <c r="P187" s="18" t="n"/>
    </row>
    <row r="188" ht="24" customHeight="1">
      <c r="A188" s="4" t="n">
        <v>185</v>
      </c>
      <c r="B188" s="4" t="n"/>
      <c r="C188" s="5" t="n"/>
      <c r="D188" s="5" t="n"/>
      <c r="E188" s="7" t="n"/>
      <c r="F188" s="7" t="n"/>
      <c r="G188" s="7" t="n"/>
      <c r="H188" s="4" t="n"/>
      <c r="I188" s="5" t="n"/>
      <c r="J188" s="4" t="n"/>
      <c r="K188" s="7">
        <f>IF(G188&lt;&gt;"",G188+3,"")</f>
        <v/>
      </c>
      <c r="L188" s="4" t="n"/>
      <c r="M188" s="7">
        <f>IF(G188&lt;&gt;"",G188+6,"")</f>
        <v/>
      </c>
      <c r="N188" s="4" t="n"/>
      <c r="O188" s="4" t="n"/>
      <c r="P188" s="5" t="n"/>
    </row>
    <row r="189" ht="24" customHeight="1">
      <c r="A189" s="17" t="n">
        <v>186</v>
      </c>
      <c r="B189" s="17" t="n"/>
      <c r="C189" s="18" t="n"/>
      <c r="D189" s="18" t="n"/>
      <c r="E189" s="19" t="n"/>
      <c r="F189" s="19" t="n"/>
      <c r="G189" s="19" t="n"/>
      <c r="H189" s="17" t="n"/>
      <c r="I189" s="18" t="n"/>
      <c r="J189" s="17" t="n"/>
      <c r="K189" s="19">
        <f>IF(G189&lt;&gt;"",G189+3,"")</f>
        <v/>
      </c>
      <c r="L189" s="17" t="n"/>
      <c r="M189" s="19">
        <f>IF(G189&lt;&gt;"",G189+6,"")</f>
        <v/>
      </c>
      <c r="N189" s="17" t="n"/>
      <c r="O189" s="17" t="n"/>
      <c r="P189" s="18" t="n"/>
    </row>
    <row r="190" ht="24" customHeight="1">
      <c r="A190" s="4" t="n">
        <v>187</v>
      </c>
      <c r="B190" s="4" t="n"/>
      <c r="C190" s="5" t="n"/>
      <c r="D190" s="5" t="n"/>
      <c r="E190" s="7" t="n"/>
      <c r="F190" s="7" t="n"/>
      <c r="G190" s="7" t="n"/>
      <c r="H190" s="4" t="n"/>
      <c r="I190" s="5" t="n"/>
      <c r="J190" s="4" t="n"/>
      <c r="K190" s="7">
        <f>IF(G190&lt;&gt;"",G190+3,"")</f>
        <v/>
      </c>
      <c r="L190" s="4" t="n"/>
      <c r="M190" s="7">
        <f>IF(G190&lt;&gt;"",G190+6,"")</f>
        <v/>
      </c>
      <c r="N190" s="4" t="n"/>
      <c r="O190" s="4" t="n"/>
      <c r="P190" s="5" t="n"/>
    </row>
    <row r="191" ht="24" customHeight="1">
      <c r="A191" s="17" t="n">
        <v>188</v>
      </c>
      <c r="B191" s="17" t="n"/>
      <c r="C191" s="18" t="n"/>
      <c r="D191" s="18" t="n"/>
      <c r="E191" s="19" t="n"/>
      <c r="F191" s="19" t="n"/>
      <c r="G191" s="19" t="n"/>
      <c r="H191" s="17" t="n"/>
      <c r="I191" s="18" t="n"/>
      <c r="J191" s="17" t="n"/>
      <c r="K191" s="19">
        <f>IF(G191&lt;&gt;"",G191+3,"")</f>
        <v/>
      </c>
      <c r="L191" s="17" t="n"/>
      <c r="M191" s="19">
        <f>IF(G191&lt;&gt;"",G191+6,"")</f>
        <v/>
      </c>
      <c r="N191" s="17" t="n"/>
      <c r="O191" s="17" t="n"/>
      <c r="P191" s="18" t="n"/>
    </row>
    <row r="192" ht="24" customHeight="1">
      <c r="A192" s="4" t="n">
        <v>189</v>
      </c>
      <c r="B192" s="4" t="n"/>
      <c r="C192" s="5" t="n"/>
      <c r="D192" s="5" t="n"/>
      <c r="E192" s="7" t="n"/>
      <c r="F192" s="7" t="n"/>
      <c r="G192" s="7" t="n"/>
      <c r="H192" s="4" t="n"/>
      <c r="I192" s="5" t="n"/>
      <c r="J192" s="4" t="n"/>
      <c r="K192" s="7">
        <f>IF(G192&lt;&gt;"",G192+3,"")</f>
        <v/>
      </c>
      <c r="L192" s="4" t="n"/>
      <c r="M192" s="7">
        <f>IF(G192&lt;&gt;"",G192+6,"")</f>
        <v/>
      </c>
      <c r="N192" s="4" t="n"/>
      <c r="O192" s="4" t="n"/>
      <c r="P192" s="5" t="n"/>
    </row>
    <row r="193" ht="24" customHeight="1">
      <c r="A193" s="17" t="n">
        <v>190</v>
      </c>
      <c r="B193" s="17" t="n"/>
      <c r="C193" s="18" t="n"/>
      <c r="D193" s="18" t="n"/>
      <c r="E193" s="19" t="n"/>
      <c r="F193" s="19" t="n"/>
      <c r="G193" s="19" t="n"/>
      <c r="H193" s="17" t="n"/>
      <c r="I193" s="18" t="n"/>
      <c r="J193" s="17" t="n"/>
      <c r="K193" s="19">
        <f>IF(G193&lt;&gt;"",G193+3,"")</f>
        <v/>
      </c>
      <c r="L193" s="17" t="n"/>
      <c r="M193" s="19">
        <f>IF(G193&lt;&gt;"",G193+6,"")</f>
        <v/>
      </c>
      <c r="N193" s="17" t="n"/>
      <c r="O193" s="17" t="n"/>
      <c r="P193" s="18" t="n"/>
    </row>
    <row r="194" ht="24" customHeight="1">
      <c r="A194" s="4" t="n">
        <v>191</v>
      </c>
      <c r="B194" s="4" t="n"/>
      <c r="C194" s="5" t="n"/>
      <c r="D194" s="5" t="n"/>
      <c r="E194" s="7" t="n"/>
      <c r="F194" s="7" t="n"/>
      <c r="G194" s="7" t="n"/>
      <c r="H194" s="4" t="n"/>
      <c r="I194" s="5" t="n"/>
      <c r="J194" s="4" t="n"/>
      <c r="K194" s="7">
        <f>IF(G194&lt;&gt;"",G194+3,"")</f>
        <v/>
      </c>
      <c r="L194" s="4" t="n"/>
      <c r="M194" s="7">
        <f>IF(G194&lt;&gt;"",G194+6,"")</f>
        <v/>
      </c>
      <c r="N194" s="4" t="n"/>
      <c r="O194" s="4" t="n"/>
      <c r="P194" s="5" t="n"/>
    </row>
    <row r="195" ht="24" customHeight="1">
      <c r="A195" s="17" t="n">
        <v>192</v>
      </c>
      <c r="B195" s="17" t="n"/>
      <c r="C195" s="18" t="n"/>
      <c r="D195" s="18" t="n"/>
      <c r="E195" s="19" t="n"/>
      <c r="F195" s="19" t="n"/>
      <c r="G195" s="19" t="n"/>
      <c r="H195" s="17" t="n"/>
      <c r="I195" s="18" t="n"/>
      <c r="J195" s="17" t="n"/>
      <c r="K195" s="19">
        <f>IF(G195&lt;&gt;"",G195+3,"")</f>
        <v/>
      </c>
      <c r="L195" s="17" t="n"/>
      <c r="M195" s="19">
        <f>IF(G195&lt;&gt;"",G195+6,"")</f>
        <v/>
      </c>
      <c r="N195" s="17" t="n"/>
      <c r="O195" s="17" t="n"/>
      <c r="P195" s="18" t="n"/>
    </row>
    <row r="196" ht="24" customHeight="1">
      <c r="A196" s="4" t="n">
        <v>193</v>
      </c>
      <c r="B196" s="4" t="n"/>
      <c r="C196" s="5" t="n"/>
      <c r="D196" s="5" t="n"/>
      <c r="E196" s="7" t="n"/>
      <c r="F196" s="7" t="n"/>
      <c r="G196" s="7" t="n"/>
      <c r="H196" s="4" t="n"/>
      <c r="I196" s="5" t="n"/>
      <c r="J196" s="4" t="n"/>
      <c r="K196" s="7">
        <f>IF(G196&lt;&gt;"",G196+3,"")</f>
        <v/>
      </c>
      <c r="L196" s="4" t="n"/>
      <c r="M196" s="7">
        <f>IF(G196&lt;&gt;"",G196+6,"")</f>
        <v/>
      </c>
      <c r="N196" s="4" t="n"/>
      <c r="O196" s="4" t="n"/>
      <c r="P196" s="5" t="n"/>
    </row>
    <row r="197" ht="24" customHeight="1">
      <c r="A197" s="17" t="n">
        <v>194</v>
      </c>
      <c r="B197" s="17" t="n"/>
      <c r="C197" s="18" t="n"/>
      <c r="D197" s="18" t="n"/>
      <c r="E197" s="19" t="n"/>
      <c r="F197" s="19" t="n"/>
      <c r="G197" s="19" t="n"/>
      <c r="H197" s="17" t="n"/>
      <c r="I197" s="18" t="n"/>
      <c r="J197" s="17" t="n"/>
      <c r="K197" s="19">
        <f>IF(G197&lt;&gt;"",G197+3,"")</f>
        <v/>
      </c>
      <c r="L197" s="17" t="n"/>
      <c r="M197" s="19">
        <f>IF(G197&lt;&gt;"",G197+6,"")</f>
        <v/>
      </c>
      <c r="N197" s="17" t="n"/>
      <c r="O197" s="17" t="n"/>
      <c r="P197" s="18" t="n"/>
    </row>
    <row r="198" ht="24" customHeight="1">
      <c r="A198" s="4" t="n">
        <v>195</v>
      </c>
      <c r="B198" s="4" t="n"/>
      <c r="C198" s="5" t="n"/>
      <c r="D198" s="5" t="n"/>
      <c r="E198" s="7" t="n"/>
      <c r="F198" s="7" t="n"/>
      <c r="G198" s="7" t="n"/>
      <c r="H198" s="4" t="n"/>
      <c r="I198" s="5" t="n"/>
      <c r="J198" s="4" t="n"/>
      <c r="K198" s="7">
        <f>IF(G198&lt;&gt;"",G198+3,"")</f>
        <v/>
      </c>
      <c r="L198" s="4" t="n"/>
      <c r="M198" s="7">
        <f>IF(G198&lt;&gt;"",G198+6,"")</f>
        <v/>
      </c>
      <c r="N198" s="4" t="n"/>
      <c r="O198" s="4" t="n"/>
      <c r="P198" s="5" t="n"/>
    </row>
    <row r="199" ht="24" customHeight="1">
      <c r="A199" s="17" t="n">
        <v>196</v>
      </c>
      <c r="B199" s="17" t="n"/>
      <c r="C199" s="18" t="n"/>
      <c r="D199" s="18" t="n"/>
      <c r="E199" s="19" t="n"/>
      <c r="F199" s="19" t="n"/>
      <c r="G199" s="19" t="n"/>
      <c r="H199" s="17" t="n"/>
      <c r="I199" s="18" t="n"/>
      <c r="J199" s="17" t="n"/>
      <c r="K199" s="19">
        <f>IF(G199&lt;&gt;"",G199+3,"")</f>
        <v/>
      </c>
      <c r="L199" s="17" t="n"/>
      <c r="M199" s="19">
        <f>IF(G199&lt;&gt;"",G199+6,"")</f>
        <v/>
      </c>
      <c r="N199" s="17" t="n"/>
      <c r="O199" s="17" t="n"/>
      <c r="P199" s="18" t="n"/>
    </row>
    <row r="200" ht="24" customHeight="1">
      <c r="A200" s="4" t="n">
        <v>197</v>
      </c>
      <c r="B200" s="4" t="n"/>
      <c r="C200" s="5" t="n"/>
      <c r="D200" s="5" t="n"/>
      <c r="E200" s="7" t="n"/>
      <c r="F200" s="7" t="n"/>
      <c r="G200" s="7" t="n"/>
      <c r="H200" s="4" t="n"/>
      <c r="I200" s="5" t="n"/>
      <c r="J200" s="4" t="n"/>
      <c r="K200" s="7">
        <f>IF(G200&lt;&gt;"",G200+3,"")</f>
        <v/>
      </c>
      <c r="L200" s="4" t="n"/>
      <c r="M200" s="7">
        <f>IF(G200&lt;&gt;"",G200+6,"")</f>
        <v/>
      </c>
      <c r="N200" s="4" t="n"/>
      <c r="O200" s="4" t="n"/>
      <c r="P200" s="5" t="n"/>
    </row>
    <row r="201" ht="24" customHeight="1">
      <c r="A201" s="17" t="n">
        <v>198</v>
      </c>
      <c r="B201" s="17" t="n"/>
      <c r="C201" s="18" t="n"/>
      <c r="D201" s="18" t="n"/>
      <c r="E201" s="19" t="n"/>
      <c r="F201" s="19" t="n"/>
      <c r="G201" s="19" t="n"/>
      <c r="H201" s="17" t="n"/>
      <c r="I201" s="18" t="n"/>
      <c r="J201" s="17" t="n"/>
      <c r="K201" s="19">
        <f>IF(G201&lt;&gt;"",G201+3,"")</f>
        <v/>
      </c>
      <c r="L201" s="17" t="n"/>
      <c r="M201" s="19">
        <f>IF(G201&lt;&gt;"",G201+6,"")</f>
        <v/>
      </c>
      <c r="N201" s="17" t="n"/>
      <c r="O201" s="17" t="n"/>
      <c r="P201" s="18" t="n"/>
    </row>
    <row r="202" ht="24" customHeight="1">
      <c r="A202" s="4" t="n">
        <v>199</v>
      </c>
      <c r="B202" s="4" t="n"/>
      <c r="C202" s="5" t="n"/>
      <c r="D202" s="5" t="n"/>
      <c r="E202" s="7" t="n"/>
      <c r="F202" s="7" t="n"/>
      <c r="G202" s="7" t="n"/>
      <c r="H202" s="4" t="n"/>
      <c r="I202" s="5" t="n"/>
      <c r="J202" s="4" t="n"/>
      <c r="K202" s="7">
        <f>IF(G202&lt;&gt;"",G202+3,"")</f>
        <v/>
      </c>
      <c r="L202" s="4" t="n"/>
      <c r="M202" s="7">
        <f>IF(G202&lt;&gt;"",G202+6,"")</f>
        <v/>
      </c>
      <c r="N202" s="4" t="n"/>
      <c r="O202" s="4" t="n"/>
      <c r="P202" s="5" t="n"/>
    </row>
    <row r="203" ht="24" customHeight="1">
      <c r="A203" s="17" t="n">
        <v>200</v>
      </c>
      <c r="B203" s="17" t="n"/>
      <c r="C203" s="18" t="n"/>
      <c r="D203" s="18" t="n"/>
      <c r="E203" s="19" t="n"/>
      <c r="F203" s="19" t="n"/>
      <c r="G203" s="19" t="n"/>
      <c r="H203" s="17" t="n"/>
      <c r="I203" s="18" t="n"/>
      <c r="J203" s="17" t="n"/>
      <c r="K203" s="19">
        <f>IF(G203&lt;&gt;"",G203+3,"")</f>
        <v/>
      </c>
      <c r="L203" s="17" t="n"/>
      <c r="M203" s="19">
        <f>IF(G203&lt;&gt;"",G203+6,"")</f>
        <v/>
      </c>
      <c r="N203" s="17" t="n"/>
      <c r="O203" s="17" t="n"/>
      <c r="P203" s="18" t="n"/>
    </row>
  </sheetData>
  <mergeCells count="2">
    <mergeCell ref="A1:P1"/>
    <mergeCell ref="A2:P2"/>
  </mergeCells>
  <conditionalFormatting sqref="A4:P203">
    <cfRule type="expression" priority="1" dxfId="0">
      <formula>AND($L4="✅ Done",$N4="✅ Done")</formula>
    </cfRule>
    <cfRule type="expression" priority="2" dxfId="4">
      <formula>AND($K4=TODAY(),$L4&lt;&gt;"✅ Done")</formula>
    </cfRule>
    <cfRule type="expression" priority="3" dxfId="5">
      <formula>AND($M4=TODAY(),$N4&lt;&gt;"✅ Done")</formula>
    </cfRule>
    <cfRule type="expression" priority="4" dxfId="6">
      <formula>AND($K4&lt;TODAY(),$K4&lt;&gt;"",$L4&lt;&gt;"✅ Done")</formula>
    </cfRule>
    <cfRule type="expression" priority="5" dxfId="7">
      <formula>$H4="Initiated"</formula>
    </cfRule>
    <cfRule type="expression" priority="6" dxfId="1">
      <formula>$H4="In Progress"</formula>
    </cfRule>
    <cfRule type="expression" priority="7" dxfId="8">
      <formula>AND($H4="Completed",$L4&lt;&gt;"✅ Done")</formula>
    </cfRule>
    <cfRule type="expression" priority="8" dxfId="9">
      <formula>$H4="Completed"</formula>
    </cfRule>
  </conditionalFormatting>
  <dataValidations count="1200">
    <dataValidation sqref="B4" showDropDown="0" showInputMessage="0" showErrorMessage="0" allowBlank="1" type="list">
      <formula1>'🛤️ Learning Paths'!$B$4:$B$103</formula1>
    </dataValidation>
    <dataValidation sqref="H4" showDropDown="0" showInputMessage="0" showErrorMessage="0" allowBlank="1" type="list">
      <formula1>'⚙️ Config'!$B$2:$B$6</formula1>
    </dataValidation>
    <dataValidation sqref="J4" showDropDown="0" showInputMessage="0" showErrorMessage="0" allowBlank="1" type="list">
      <formula1>'⚙️ Config'!$A$2:$A$9</formula1>
    </dataValidation>
    <dataValidation sqref="L4" showDropDown="0" showInputMessage="0" showErrorMessage="0" allowBlank="1" type="list">
      <formula1>'⚙️ Config'!$C$2:$C$4</formula1>
    </dataValidation>
    <dataValidation sqref="N4" showDropDown="0" showInputMessage="0" showErrorMessage="0" allowBlank="1" type="list">
      <formula1>'⚙️ Config'!$C$2:$C$4</formula1>
    </dataValidation>
    <dataValidation sqref="O4" showDropDown="0" showInputMessage="0" showErrorMessage="0" allowBlank="1" type="list">
      <formula1>'⚙️ Config'!$G$2:$G$7</formula1>
    </dataValidation>
    <dataValidation sqref="B5" showDropDown="0" showInputMessage="0" showErrorMessage="0" allowBlank="1" type="list">
      <formula1>'🛤️ Learning Paths'!$B$4:$B$103</formula1>
    </dataValidation>
    <dataValidation sqref="H5" showDropDown="0" showInputMessage="0" showErrorMessage="0" allowBlank="1" type="list">
      <formula1>'⚙️ Config'!$B$2:$B$6</formula1>
    </dataValidation>
    <dataValidation sqref="J5" showDropDown="0" showInputMessage="0" showErrorMessage="0" allowBlank="1" type="list">
      <formula1>'⚙️ Config'!$A$2:$A$9</formula1>
    </dataValidation>
    <dataValidation sqref="L5" showDropDown="0" showInputMessage="0" showErrorMessage="0" allowBlank="1" type="list">
      <formula1>'⚙️ Config'!$C$2:$C$4</formula1>
    </dataValidation>
    <dataValidation sqref="N5" showDropDown="0" showInputMessage="0" showErrorMessage="0" allowBlank="1" type="list">
      <formula1>'⚙️ Config'!$C$2:$C$4</formula1>
    </dataValidation>
    <dataValidation sqref="O5" showDropDown="0" showInputMessage="0" showErrorMessage="0" allowBlank="1" type="list">
      <formula1>'⚙️ Config'!$G$2:$G$7</formula1>
    </dataValidation>
    <dataValidation sqref="B6" showDropDown="0" showInputMessage="0" showErrorMessage="0" allowBlank="1" type="list">
      <formula1>'🛤️ Learning Paths'!$B$4:$B$103</formula1>
    </dataValidation>
    <dataValidation sqref="H6" showDropDown="0" showInputMessage="0" showErrorMessage="0" allowBlank="1" type="list">
      <formula1>'⚙️ Config'!$B$2:$B$6</formula1>
    </dataValidation>
    <dataValidation sqref="J6" showDropDown="0" showInputMessage="0" showErrorMessage="0" allowBlank="1" type="list">
      <formula1>'⚙️ Config'!$A$2:$A$9</formula1>
    </dataValidation>
    <dataValidation sqref="L6" showDropDown="0" showInputMessage="0" showErrorMessage="0" allowBlank="1" type="list">
      <formula1>'⚙️ Config'!$C$2:$C$4</formula1>
    </dataValidation>
    <dataValidation sqref="N6" showDropDown="0" showInputMessage="0" showErrorMessage="0" allowBlank="1" type="list">
      <formula1>'⚙️ Config'!$C$2:$C$4</formula1>
    </dataValidation>
    <dataValidation sqref="O6" showDropDown="0" showInputMessage="0" showErrorMessage="0" allowBlank="1" type="list">
      <formula1>'⚙️ Config'!$G$2:$G$7</formula1>
    </dataValidation>
    <dataValidation sqref="B7" showDropDown="0" showInputMessage="0" showErrorMessage="0" allowBlank="1" type="list">
      <formula1>'🛤️ Learning Paths'!$B$4:$B$103</formula1>
    </dataValidation>
    <dataValidation sqref="H7" showDropDown="0" showInputMessage="0" showErrorMessage="0" allowBlank="1" type="list">
      <formula1>'⚙️ Config'!$B$2:$B$6</formula1>
    </dataValidation>
    <dataValidation sqref="J7" showDropDown="0" showInputMessage="0" showErrorMessage="0" allowBlank="1" type="list">
      <formula1>'⚙️ Config'!$A$2:$A$9</formula1>
    </dataValidation>
    <dataValidation sqref="L7" showDropDown="0" showInputMessage="0" showErrorMessage="0" allowBlank="1" type="list">
      <formula1>'⚙️ Config'!$C$2:$C$4</formula1>
    </dataValidation>
    <dataValidation sqref="N7" showDropDown="0" showInputMessage="0" showErrorMessage="0" allowBlank="1" type="list">
      <formula1>'⚙️ Config'!$C$2:$C$4</formula1>
    </dataValidation>
    <dataValidation sqref="O7" showDropDown="0" showInputMessage="0" showErrorMessage="0" allowBlank="1" type="list">
      <formula1>'⚙️ Config'!$G$2:$G$7</formula1>
    </dataValidation>
    <dataValidation sqref="B8" showDropDown="0" showInputMessage="0" showErrorMessage="0" allowBlank="1" type="list">
      <formula1>'🛤️ Learning Paths'!$B$4:$B$103</formula1>
    </dataValidation>
    <dataValidation sqref="H8" showDropDown="0" showInputMessage="0" showErrorMessage="0" allowBlank="1" type="list">
      <formula1>'⚙️ Config'!$B$2:$B$6</formula1>
    </dataValidation>
    <dataValidation sqref="J8" showDropDown="0" showInputMessage="0" showErrorMessage="0" allowBlank="1" type="list">
      <formula1>'⚙️ Config'!$A$2:$A$9</formula1>
    </dataValidation>
    <dataValidation sqref="L8" showDropDown="0" showInputMessage="0" showErrorMessage="0" allowBlank="1" type="list">
      <formula1>'⚙️ Config'!$C$2:$C$4</formula1>
    </dataValidation>
    <dataValidation sqref="N8" showDropDown="0" showInputMessage="0" showErrorMessage="0" allowBlank="1" type="list">
      <formula1>'⚙️ Config'!$C$2:$C$4</formula1>
    </dataValidation>
    <dataValidation sqref="O8" showDropDown="0" showInputMessage="0" showErrorMessage="0" allowBlank="1" type="list">
      <formula1>'⚙️ Config'!$G$2:$G$7</formula1>
    </dataValidation>
    <dataValidation sqref="B9" showDropDown="0" showInputMessage="0" showErrorMessage="0" allowBlank="1" type="list">
      <formula1>'🛤️ Learning Paths'!$B$4:$B$103</formula1>
    </dataValidation>
    <dataValidation sqref="H9" showDropDown="0" showInputMessage="0" showErrorMessage="0" allowBlank="1" type="list">
      <formula1>'⚙️ Config'!$B$2:$B$6</formula1>
    </dataValidation>
    <dataValidation sqref="J9" showDropDown="0" showInputMessage="0" showErrorMessage="0" allowBlank="1" type="list">
      <formula1>'⚙️ Config'!$A$2:$A$9</formula1>
    </dataValidation>
    <dataValidation sqref="L9" showDropDown="0" showInputMessage="0" showErrorMessage="0" allowBlank="1" type="list">
      <formula1>'⚙️ Config'!$C$2:$C$4</formula1>
    </dataValidation>
    <dataValidation sqref="N9" showDropDown="0" showInputMessage="0" showErrorMessage="0" allowBlank="1" type="list">
      <formula1>'⚙️ Config'!$C$2:$C$4</formula1>
    </dataValidation>
    <dataValidation sqref="O9" showDropDown="0" showInputMessage="0" showErrorMessage="0" allowBlank="1" type="list">
      <formula1>'⚙️ Config'!$G$2:$G$7</formula1>
    </dataValidation>
    <dataValidation sqref="B10" showDropDown="0" showInputMessage="0" showErrorMessage="0" allowBlank="1" type="list">
      <formula1>'🛤️ Learning Paths'!$B$4:$B$103</formula1>
    </dataValidation>
    <dataValidation sqref="H10" showDropDown="0" showInputMessage="0" showErrorMessage="0" allowBlank="1" type="list">
      <formula1>'⚙️ Config'!$B$2:$B$6</formula1>
    </dataValidation>
    <dataValidation sqref="J10" showDropDown="0" showInputMessage="0" showErrorMessage="0" allowBlank="1" type="list">
      <formula1>'⚙️ Config'!$A$2:$A$9</formula1>
    </dataValidation>
    <dataValidation sqref="L10" showDropDown="0" showInputMessage="0" showErrorMessage="0" allowBlank="1" type="list">
      <formula1>'⚙️ Config'!$C$2:$C$4</formula1>
    </dataValidation>
    <dataValidation sqref="N10" showDropDown="0" showInputMessage="0" showErrorMessage="0" allowBlank="1" type="list">
      <formula1>'⚙️ Config'!$C$2:$C$4</formula1>
    </dataValidation>
    <dataValidation sqref="O10" showDropDown="0" showInputMessage="0" showErrorMessage="0" allowBlank="1" type="list">
      <formula1>'⚙️ Config'!$G$2:$G$7</formula1>
    </dataValidation>
    <dataValidation sqref="B11" showDropDown="0" showInputMessage="0" showErrorMessage="0" allowBlank="1" type="list">
      <formula1>'🛤️ Learning Paths'!$B$4:$B$103</formula1>
    </dataValidation>
    <dataValidation sqref="H11" showDropDown="0" showInputMessage="0" showErrorMessage="0" allowBlank="1" type="list">
      <formula1>'⚙️ Config'!$B$2:$B$6</formula1>
    </dataValidation>
    <dataValidation sqref="J11" showDropDown="0" showInputMessage="0" showErrorMessage="0" allowBlank="1" type="list">
      <formula1>'⚙️ Config'!$A$2:$A$9</formula1>
    </dataValidation>
    <dataValidation sqref="L11" showDropDown="0" showInputMessage="0" showErrorMessage="0" allowBlank="1" type="list">
      <formula1>'⚙️ Config'!$C$2:$C$4</formula1>
    </dataValidation>
    <dataValidation sqref="N11" showDropDown="0" showInputMessage="0" showErrorMessage="0" allowBlank="1" type="list">
      <formula1>'⚙️ Config'!$C$2:$C$4</formula1>
    </dataValidation>
    <dataValidation sqref="O11" showDropDown="0" showInputMessage="0" showErrorMessage="0" allowBlank="1" type="list">
      <formula1>'⚙️ Config'!$G$2:$G$7</formula1>
    </dataValidation>
    <dataValidation sqref="B12" showDropDown="0" showInputMessage="0" showErrorMessage="0" allowBlank="1" type="list">
      <formula1>'🛤️ Learning Paths'!$B$4:$B$103</formula1>
    </dataValidation>
    <dataValidation sqref="H12" showDropDown="0" showInputMessage="0" showErrorMessage="0" allowBlank="1" type="list">
      <formula1>'⚙️ Config'!$B$2:$B$6</formula1>
    </dataValidation>
    <dataValidation sqref="J12" showDropDown="0" showInputMessage="0" showErrorMessage="0" allowBlank="1" type="list">
      <formula1>'⚙️ Config'!$A$2:$A$9</formula1>
    </dataValidation>
    <dataValidation sqref="L12" showDropDown="0" showInputMessage="0" showErrorMessage="0" allowBlank="1" type="list">
      <formula1>'⚙️ Config'!$C$2:$C$4</formula1>
    </dataValidation>
    <dataValidation sqref="N12" showDropDown="0" showInputMessage="0" showErrorMessage="0" allowBlank="1" type="list">
      <formula1>'⚙️ Config'!$C$2:$C$4</formula1>
    </dataValidation>
    <dataValidation sqref="O12" showDropDown="0" showInputMessage="0" showErrorMessage="0" allowBlank="1" type="list">
      <formula1>'⚙️ Config'!$G$2:$G$7</formula1>
    </dataValidation>
    <dataValidation sqref="B13" showDropDown="0" showInputMessage="0" showErrorMessage="0" allowBlank="1" type="list">
      <formula1>'🛤️ Learning Paths'!$B$4:$B$103</formula1>
    </dataValidation>
    <dataValidation sqref="H13" showDropDown="0" showInputMessage="0" showErrorMessage="0" allowBlank="1" type="list">
      <formula1>'⚙️ Config'!$B$2:$B$6</formula1>
    </dataValidation>
    <dataValidation sqref="J13" showDropDown="0" showInputMessage="0" showErrorMessage="0" allowBlank="1" type="list">
      <formula1>'⚙️ Config'!$A$2:$A$9</formula1>
    </dataValidation>
    <dataValidation sqref="L13" showDropDown="0" showInputMessage="0" showErrorMessage="0" allowBlank="1" type="list">
      <formula1>'⚙️ Config'!$C$2:$C$4</formula1>
    </dataValidation>
    <dataValidation sqref="N13" showDropDown="0" showInputMessage="0" showErrorMessage="0" allowBlank="1" type="list">
      <formula1>'⚙️ Config'!$C$2:$C$4</formula1>
    </dataValidation>
    <dataValidation sqref="O13" showDropDown="0" showInputMessage="0" showErrorMessage="0" allowBlank="1" type="list">
      <formula1>'⚙️ Config'!$G$2:$G$7</formula1>
    </dataValidation>
    <dataValidation sqref="B14" showDropDown="0" showInputMessage="0" showErrorMessage="0" allowBlank="1" type="list">
      <formula1>'🛤️ Learning Paths'!$B$4:$B$103</formula1>
    </dataValidation>
    <dataValidation sqref="H14" showDropDown="0" showInputMessage="0" showErrorMessage="0" allowBlank="1" type="list">
      <formula1>'⚙️ Config'!$B$2:$B$6</formula1>
    </dataValidation>
    <dataValidation sqref="J14" showDropDown="0" showInputMessage="0" showErrorMessage="0" allowBlank="1" type="list">
      <formula1>'⚙️ Config'!$A$2:$A$9</formula1>
    </dataValidation>
    <dataValidation sqref="L14" showDropDown="0" showInputMessage="0" showErrorMessage="0" allowBlank="1" type="list">
      <formula1>'⚙️ Config'!$C$2:$C$4</formula1>
    </dataValidation>
    <dataValidation sqref="N14" showDropDown="0" showInputMessage="0" showErrorMessage="0" allowBlank="1" type="list">
      <formula1>'⚙️ Config'!$C$2:$C$4</formula1>
    </dataValidation>
    <dataValidation sqref="O14" showDropDown="0" showInputMessage="0" showErrorMessage="0" allowBlank="1" type="list">
      <formula1>'⚙️ Config'!$G$2:$G$7</formula1>
    </dataValidation>
    <dataValidation sqref="B15" showDropDown="0" showInputMessage="0" showErrorMessage="0" allowBlank="1" type="list">
      <formula1>'🛤️ Learning Paths'!$B$4:$B$103</formula1>
    </dataValidation>
    <dataValidation sqref="H15" showDropDown="0" showInputMessage="0" showErrorMessage="0" allowBlank="1" type="list">
      <formula1>'⚙️ Config'!$B$2:$B$6</formula1>
    </dataValidation>
    <dataValidation sqref="J15" showDropDown="0" showInputMessage="0" showErrorMessage="0" allowBlank="1" type="list">
      <formula1>'⚙️ Config'!$A$2:$A$9</formula1>
    </dataValidation>
    <dataValidation sqref="L15" showDropDown="0" showInputMessage="0" showErrorMessage="0" allowBlank="1" type="list">
      <formula1>'⚙️ Config'!$C$2:$C$4</formula1>
    </dataValidation>
    <dataValidation sqref="N15" showDropDown="0" showInputMessage="0" showErrorMessage="0" allowBlank="1" type="list">
      <formula1>'⚙️ Config'!$C$2:$C$4</formula1>
    </dataValidation>
    <dataValidation sqref="O15" showDropDown="0" showInputMessage="0" showErrorMessage="0" allowBlank="1" type="list">
      <formula1>'⚙️ Config'!$G$2:$G$7</formula1>
    </dataValidation>
    <dataValidation sqref="B16" showDropDown="0" showInputMessage="0" showErrorMessage="0" allowBlank="1" type="list">
      <formula1>'🛤️ Learning Paths'!$B$4:$B$103</formula1>
    </dataValidation>
    <dataValidation sqref="H16" showDropDown="0" showInputMessage="0" showErrorMessage="0" allowBlank="1" type="list">
      <formula1>'⚙️ Config'!$B$2:$B$6</formula1>
    </dataValidation>
    <dataValidation sqref="J16" showDropDown="0" showInputMessage="0" showErrorMessage="0" allowBlank="1" type="list">
      <formula1>'⚙️ Config'!$A$2:$A$9</formula1>
    </dataValidation>
    <dataValidation sqref="L16" showDropDown="0" showInputMessage="0" showErrorMessage="0" allowBlank="1" type="list">
      <formula1>'⚙️ Config'!$C$2:$C$4</formula1>
    </dataValidation>
    <dataValidation sqref="N16" showDropDown="0" showInputMessage="0" showErrorMessage="0" allowBlank="1" type="list">
      <formula1>'⚙️ Config'!$C$2:$C$4</formula1>
    </dataValidation>
    <dataValidation sqref="O16" showDropDown="0" showInputMessage="0" showErrorMessage="0" allowBlank="1" type="list">
      <formula1>'⚙️ Config'!$G$2:$G$7</formula1>
    </dataValidation>
    <dataValidation sqref="B17" showDropDown="0" showInputMessage="0" showErrorMessage="0" allowBlank="1" type="list">
      <formula1>'🛤️ Learning Paths'!$B$4:$B$103</formula1>
    </dataValidation>
    <dataValidation sqref="H17" showDropDown="0" showInputMessage="0" showErrorMessage="0" allowBlank="1" type="list">
      <formula1>'⚙️ Config'!$B$2:$B$6</formula1>
    </dataValidation>
    <dataValidation sqref="J17" showDropDown="0" showInputMessage="0" showErrorMessage="0" allowBlank="1" type="list">
      <formula1>'⚙️ Config'!$A$2:$A$9</formula1>
    </dataValidation>
    <dataValidation sqref="L17" showDropDown="0" showInputMessage="0" showErrorMessage="0" allowBlank="1" type="list">
      <formula1>'⚙️ Config'!$C$2:$C$4</formula1>
    </dataValidation>
    <dataValidation sqref="N17" showDropDown="0" showInputMessage="0" showErrorMessage="0" allowBlank="1" type="list">
      <formula1>'⚙️ Config'!$C$2:$C$4</formula1>
    </dataValidation>
    <dataValidation sqref="O17" showDropDown="0" showInputMessage="0" showErrorMessage="0" allowBlank="1" type="list">
      <formula1>'⚙️ Config'!$G$2:$G$7</formula1>
    </dataValidation>
    <dataValidation sqref="B18" showDropDown="0" showInputMessage="0" showErrorMessage="0" allowBlank="1" type="list">
      <formula1>'🛤️ Learning Paths'!$B$4:$B$103</formula1>
    </dataValidation>
    <dataValidation sqref="H18" showDropDown="0" showInputMessage="0" showErrorMessage="0" allowBlank="1" type="list">
      <formula1>'⚙️ Config'!$B$2:$B$6</formula1>
    </dataValidation>
    <dataValidation sqref="J18" showDropDown="0" showInputMessage="0" showErrorMessage="0" allowBlank="1" type="list">
      <formula1>'⚙️ Config'!$A$2:$A$9</formula1>
    </dataValidation>
    <dataValidation sqref="L18" showDropDown="0" showInputMessage="0" showErrorMessage="0" allowBlank="1" type="list">
      <formula1>'⚙️ Config'!$C$2:$C$4</formula1>
    </dataValidation>
    <dataValidation sqref="N18" showDropDown="0" showInputMessage="0" showErrorMessage="0" allowBlank="1" type="list">
      <formula1>'⚙️ Config'!$C$2:$C$4</formula1>
    </dataValidation>
    <dataValidation sqref="O18" showDropDown="0" showInputMessage="0" showErrorMessage="0" allowBlank="1" type="list">
      <formula1>'⚙️ Config'!$G$2:$G$7</formula1>
    </dataValidation>
    <dataValidation sqref="B19" showDropDown="0" showInputMessage="0" showErrorMessage="0" allowBlank="1" type="list">
      <formula1>'🛤️ Learning Paths'!$B$4:$B$103</formula1>
    </dataValidation>
    <dataValidation sqref="H19" showDropDown="0" showInputMessage="0" showErrorMessage="0" allowBlank="1" type="list">
      <formula1>'⚙️ Config'!$B$2:$B$6</formula1>
    </dataValidation>
    <dataValidation sqref="J19" showDropDown="0" showInputMessage="0" showErrorMessage="0" allowBlank="1" type="list">
      <formula1>'⚙️ Config'!$A$2:$A$9</formula1>
    </dataValidation>
    <dataValidation sqref="L19" showDropDown="0" showInputMessage="0" showErrorMessage="0" allowBlank="1" type="list">
      <formula1>'⚙️ Config'!$C$2:$C$4</formula1>
    </dataValidation>
    <dataValidation sqref="N19" showDropDown="0" showInputMessage="0" showErrorMessage="0" allowBlank="1" type="list">
      <formula1>'⚙️ Config'!$C$2:$C$4</formula1>
    </dataValidation>
    <dataValidation sqref="O19" showDropDown="0" showInputMessage="0" showErrorMessage="0" allowBlank="1" type="list">
      <formula1>'⚙️ Config'!$G$2:$G$7</formula1>
    </dataValidation>
    <dataValidation sqref="B20" showDropDown="0" showInputMessage="0" showErrorMessage="0" allowBlank="1" type="list">
      <formula1>'🛤️ Learning Paths'!$B$4:$B$103</formula1>
    </dataValidation>
    <dataValidation sqref="H20" showDropDown="0" showInputMessage="0" showErrorMessage="0" allowBlank="1" type="list">
      <formula1>'⚙️ Config'!$B$2:$B$6</formula1>
    </dataValidation>
    <dataValidation sqref="J20" showDropDown="0" showInputMessage="0" showErrorMessage="0" allowBlank="1" type="list">
      <formula1>'⚙️ Config'!$A$2:$A$9</formula1>
    </dataValidation>
    <dataValidation sqref="L20" showDropDown="0" showInputMessage="0" showErrorMessage="0" allowBlank="1" type="list">
      <formula1>'⚙️ Config'!$C$2:$C$4</formula1>
    </dataValidation>
    <dataValidation sqref="N20" showDropDown="0" showInputMessage="0" showErrorMessage="0" allowBlank="1" type="list">
      <formula1>'⚙️ Config'!$C$2:$C$4</formula1>
    </dataValidation>
    <dataValidation sqref="O20" showDropDown="0" showInputMessage="0" showErrorMessage="0" allowBlank="1" type="list">
      <formula1>'⚙️ Config'!$G$2:$G$7</formula1>
    </dataValidation>
    <dataValidation sqref="B21" showDropDown="0" showInputMessage="0" showErrorMessage="0" allowBlank="1" type="list">
      <formula1>'🛤️ Learning Paths'!$B$4:$B$103</formula1>
    </dataValidation>
    <dataValidation sqref="H21" showDropDown="0" showInputMessage="0" showErrorMessage="0" allowBlank="1" type="list">
      <formula1>'⚙️ Config'!$B$2:$B$6</formula1>
    </dataValidation>
    <dataValidation sqref="J21" showDropDown="0" showInputMessage="0" showErrorMessage="0" allowBlank="1" type="list">
      <formula1>'⚙️ Config'!$A$2:$A$9</formula1>
    </dataValidation>
    <dataValidation sqref="L21" showDropDown="0" showInputMessage="0" showErrorMessage="0" allowBlank="1" type="list">
      <formula1>'⚙️ Config'!$C$2:$C$4</formula1>
    </dataValidation>
    <dataValidation sqref="N21" showDropDown="0" showInputMessage="0" showErrorMessage="0" allowBlank="1" type="list">
      <formula1>'⚙️ Config'!$C$2:$C$4</formula1>
    </dataValidation>
    <dataValidation sqref="O21" showDropDown="0" showInputMessage="0" showErrorMessage="0" allowBlank="1" type="list">
      <formula1>'⚙️ Config'!$G$2:$G$7</formula1>
    </dataValidation>
    <dataValidation sqref="B22" showDropDown="0" showInputMessage="0" showErrorMessage="0" allowBlank="1" type="list">
      <formula1>'🛤️ Learning Paths'!$B$4:$B$103</formula1>
    </dataValidation>
    <dataValidation sqref="H22" showDropDown="0" showInputMessage="0" showErrorMessage="0" allowBlank="1" type="list">
      <formula1>'⚙️ Config'!$B$2:$B$6</formula1>
    </dataValidation>
    <dataValidation sqref="J22" showDropDown="0" showInputMessage="0" showErrorMessage="0" allowBlank="1" type="list">
      <formula1>'⚙️ Config'!$A$2:$A$9</formula1>
    </dataValidation>
    <dataValidation sqref="L22" showDropDown="0" showInputMessage="0" showErrorMessage="0" allowBlank="1" type="list">
      <formula1>'⚙️ Config'!$C$2:$C$4</formula1>
    </dataValidation>
    <dataValidation sqref="N22" showDropDown="0" showInputMessage="0" showErrorMessage="0" allowBlank="1" type="list">
      <formula1>'⚙️ Config'!$C$2:$C$4</formula1>
    </dataValidation>
    <dataValidation sqref="O22" showDropDown="0" showInputMessage="0" showErrorMessage="0" allowBlank="1" type="list">
      <formula1>'⚙️ Config'!$G$2:$G$7</formula1>
    </dataValidation>
    <dataValidation sqref="B23" showDropDown="0" showInputMessage="0" showErrorMessage="0" allowBlank="1" type="list">
      <formula1>'🛤️ Learning Paths'!$B$4:$B$103</formula1>
    </dataValidation>
    <dataValidation sqref="H23" showDropDown="0" showInputMessage="0" showErrorMessage="0" allowBlank="1" type="list">
      <formula1>'⚙️ Config'!$B$2:$B$6</formula1>
    </dataValidation>
    <dataValidation sqref="J23" showDropDown="0" showInputMessage="0" showErrorMessage="0" allowBlank="1" type="list">
      <formula1>'⚙️ Config'!$A$2:$A$9</formula1>
    </dataValidation>
    <dataValidation sqref="L23" showDropDown="0" showInputMessage="0" showErrorMessage="0" allowBlank="1" type="list">
      <formula1>'⚙️ Config'!$C$2:$C$4</formula1>
    </dataValidation>
    <dataValidation sqref="N23" showDropDown="0" showInputMessage="0" showErrorMessage="0" allowBlank="1" type="list">
      <formula1>'⚙️ Config'!$C$2:$C$4</formula1>
    </dataValidation>
    <dataValidation sqref="O23" showDropDown="0" showInputMessage="0" showErrorMessage="0" allowBlank="1" type="list">
      <formula1>'⚙️ Config'!$G$2:$G$7</formula1>
    </dataValidation>
    <dataValidation sqref="B24" showDropDown="0" showInputMessage="0" showErrorMessage="0" allowBlank="1" type="list">
      <formula1>'🛤️ Learning Paths'!$B$4:$B$103</formula1>
    </dataValidation>
    <dataValidation sqref="H24" showDropDown="0" showInputMessage="0" showErrorMessage="0" allowBlank="1" type="list">
      <formula1>'⚙️ Config'!$B$2:$B$6</formula1>
    </dataValidation>
    <dataValidation sqref="J24" showDropDown="0" showInputMessage="0" showErrorMessage="0" allowBlank="1" type="list">
      <formula1>'⚙️ Config'!$A$2:$A$9</formula1>
    </dataValidation>
    <dataValidation sqref="L24" showDropDown="0" showInputMessage="0" showErrorMessage="0" allowBlank="1" type="list">
      <formula1>'⚙️ Config'!$C$2:$C$4</formula1>
    </dataValidation>
    <dataValidation sqref="N24" showDropDown="0" showInputMessage="0" showErrorMessage="0" allowBlank="1" type="list">
      <formula1>'⚙️ Config'!$C$2:$C$4</formula1>
    </dataValidation>
    <dataValidation sqref="O24" showDropDown="0" showInputMessage="0" showErrorMessage="0" allowBlank="1" type="list">
      <formula1>'⚙️ Config'!$G$2:$G$7</formula1>
    </dataValidation>
    <dataValidation sqref="B25" showDropDown="0" showInputMessage="0" showErrorMessage="0" allowBlank="1" type="list">
      <formula1>'🛤️ Learning Paths'!$B$4:$B$103</formula1>
    </dataValidation>
    <dataValidation sqref="H25" showDropDown="0" showInputMessage="0" showErrorMessage="0" allowBlank="1" type="list">
      <formula1>'⚙️ Config'!$B$2:$B$6</formula1>
    </dataValidation>
    <dataValidation sqref="J25" showDropDown="0" showInputMessage="0" showErrorMessage="0" allowBlank="1" type="list">
      <formula1>'⚙️ Config'!$A$2:$A$9</formula1>
    </dataValidation>
    <dataValidation sqref="L25" showDropDown="0" showInputMessage="0" showErrorMessage="0" allowBlank="1" type="list">
      <formula1>'⚙️ Config'!$C$2:$C$4</formula1>
    </dataValidation>
    <dataValidation sqref="N25" showDropDown="0" showInputMessage="0" showErrorMessage="0" allowBlank="1" type="list">
      <formula1>'⚙️ Config'!$C$2:$C$4</formula1>
    </dataValidation>
    <dataValidation sqref="O25" showDropDown="0" showInputMessage="0" showErrorMessage="0" allowBlank="1" type="list">
      <formula1>'⚙️ Config'!$G$2:$G$7</formula1>
    </dataValidation>
    <dataValidation sqref="B26" showDropDown="0" showInputMessage="0" showErrorMessage="0" allowBlank="1" type="list">
      <formula1>'🛤️ Learning Paths'!$B$4:$B$103</formula1>
    </dataValidation>
    <dataValidation sqref="H26" showDropDown="0" showInputMessage="0" showErrorMessage="0" allowBlank="1" type="list">
      <formula1>'⚙️ Config'!$B$2:$B$6</formula1>
    </dataValidation>
    <dataValidation sqref="J26" showDropDown="0" showInputMessage="0" showErrorMessage="0" allowBlank="1" type="list">
      <formula1>'⚙️ Config'!$A$2:$A$9</formula1>
    </dataValidation>
    <dataValidation sqref="L26" showDropDown="0" showInputMessage="0" showErrorMessage="0" allowBlank="1" type="list">
      <formula1>'⚙️ Config'!$C$2:$C$4</formula1>
    </dataValidation>
    <dataValidation sqref="N26" showDropDown="0" showInputMessage="0" showErrorMessage="0" allowBlank="1" type="list">
      <formula1>'⚙️ Config'!$C$2:$C$4</formula1>
    </dataValidation>
    <dataValidation sqref="O26" showDropDown="0" showInputMessage="0" showErrorMessage="0" allowBlank="1" type="list">
      <formula1>'⚙️ Config'!$G$2:$G$7</formula1>
    </dataValidation>
    <dataValidation sqref="B27" showDropDown="0" showInputMessage="0" showErrorMessage="0" allowBlank="1" type="list">
      <formula1>'🛤️ Learning Paths'!$B$4:$B$103</formula1>
    </dataValidation>
    <dataValidation sqref="H27" showDropDown="0" showInputMessage="0" showErrorMessage="0" allowBlank="1" type="list">
      <formula1>'⚙️ Config'!$B$2:$B$6</formula1>
    </dataValidation>
    <dataValidation sqref="J27" showDropDown="0" showInputMessage="0" showErrorMessage="0" allowBlank="1" type="list">
      <formula1>'⚙️ Config'!$A$2:$A$9</formula1>
    </dataValidation>
    <dataValidation sqref="L27" showDropDown="0" showInputMessage="0" showErrorMessage="0" allowBlank="1" type="list">
      <formula1>'⚙️ Config'!$C$2:$C$4</formula1>
    </dataValidation>
    <dataValidation sqref="N27" showDropDown="0" showInputMessage="0" showErrorMessage="0" allowBlank="1" type="list">
      <formula1>'⚙️ Config'!$C$2:$C$4</formula1>
    </dataValidation>
    <dataValidation sqref="O27" showDropDown="0" showInputMessage="0" showErrorMessage="0" allowBlank="1" type="list">
      <formula1>'⚙️ Config'!$G$2:$G$7</formula1>
    </dataValidation>
    <dataValidation sqref="B28" showDropDown="0" showInputMessage="0" showErrorMessage="0" allowBlank="1" type="list">
      <formula1>'🛤️ Learning Paths'!$B$4:$B$103</formula1>
    </dataValidation>
    <dataValidation sqref="H28" showDropDown="0" showInputMessage="0" showErrorMessage="0" allowBlank="1" type="list">
      <formula1>'⚙️ Config'!$B$2:$B$6</formula1>
    </dataValidation>
    <dataValidation sqref="J28" showDropDown="0" showInputMessage="0" showErrorMessage="0" allowBlank="1" type="list">
      <formula1>'⚙️ Config'!$A$2:$A$9</formula1>
    </dataValidation>
    <dataValidation sqref="L28" showDropDown="0" showInputMessage="0" showErrorMessage="0" allowBlank="1" type="list">
      <formula1>'⚙️ Config'!$C$2:$C$4</formula1>
    </dataValidation>
    <dataValidation sqref="N28" showDropDown="0" showInputMessage="0" showErrorMessage="0" allowBlank="1" type="list">
      <formula1>'⚙️ Config'!$C$2:$C$4</formula1>
    </dataValidation>
    <dataValidation sqref="O28" showDropDown="0" showInputMessage="0" showErrorMessage="0" allowBlank="1" type="list">
      <formula1>'⚙️ Config'!$G$2:$G$7</formula1>
    </dataValidation>
    <dataValidation sqref="B29" showDropDown="0" showInputMessage="0" showErrorMessage="0" allowBlank="1" type="list">
      <formula1>'🛤️ Learning Paths'!$B$4:$B$103</formula1>
    </dataValidation>
    <dataValidation sqref="H29" showDropDown="0" showInputMessage="0" showErrorMessage="0" allowBlank="1" type="list">
      <formula1>'⚙️ Config'!$B$2:$B$6</formula1>
    </dataValidation>
    <dataValidation sqref="J29" showDropDown="0" showInputMessage="0" showErrorMessage="0" allowBlank="1" type="list">
      <formula1>'⚙️ Config'!$A$2:$A$9</formula1>
    </dataValidation>
    <dataValidation sqref="L29" showDropDown="0" showInputMessage="0" showErrorMessage="0" allowBlank="1" type="list">
      <formula1>'⚙️ Config'!$C$2:$C$4</formula1>
    </dataValidation>
    <dataValidation sqref="N29" showDropDown="0" showInputMessage="0" showErrorMessage="0" allowBlank="1" type="list">
      <formula1>'⚙️ Config'!$C$2:$C$4</formula1>
    </dataValidation>
    <dataValidation sqref="O29" showDropDown="0" showInputMessage="0" showErrorMessage="0" allowBlank="1" type="list">
      <formula1>'⚙️ Config'!$G$2:$G$7</formula1>
    </dataValidation>
    <dataValidation sqref="B30" showDropDown="0" showInputMessage="0" showErrorMessage="0" allowBlank="1" type="list">
      <formula1>'🛤️ Learning Paths'!$B$4:$B$103</formula1>
    </dataValidation>
    <dataValidation sqref="H30" showDropDown="0" showInputMessage="0" showErrorMessage="0" allowBlank="1" type="list">
      <formula1>'⚙️ Config'!$B$2:$B$6</formula1>
    </dataValidation>
    <dataValidation sqref="J30" showDropDown="0" showInputMessage="0" showErrorMessage="0" allowBlank="1" type="list">
      <formula1>'⚙️ Config'!$A$2:$A$9</formula1>
    </dataValidation>
    <dataValidation sqref="L30" showDropDown="0" showInputMessage="0" showErrorMessage="0" allowBlank="1" type="list">
      <formula1>'⚙️ Config'!$C$2:$C$4</formula1>
    </dataValidation>
    <dataValidation sqref="N30" showDropDown="0" showInputMessage="0" showErrorMessage="0" allowBlank="1" type="list">
      <formula1>'⚙️ Config'!$C$2:$C$4</formula1>
    </dataValidation>
    <dataValidation sqref="O30" showDropDown="0" showInputMessage="0" showErrorMessage="0" allowBlank="1" type="list">
      <formula1>'⚙️ Config'!$G$2:$G$7</formula1>
    </dataValidation>
    <dataValidation sqref="B31" showDropDown="0" showInputMessage="0" showErrorMessage="0" allowBlank="1" type="list">
      <formula1>'🛤️ Learning Paths'!$B$4:$B$103</formula1>
    </dataValidation>
    <dataValidation sqref="H31" showDropDown="0" showInputMessage="0" showErrorMessage="0" allowBlank="1" type="list">
      <formula1>'⚙️ Config'!$B$2:$B$6</formula1>
    </dataValidation>
    <dataValidation sqref="J31" showDropDown="0" showInputMessage="0" showErrorMessage="0" allowBlank="1" type="list">
      <formula1>'⚙️ Config'!$A$2:$A$9</formula1>
    </dataValidation>
    <dataValidation sqref="L31" showDropDown="0" showInputMessage="0" showErrorMessage="0" allowBlank="1" type="list">
      <formula1>'⚙️ Config'!$C$2:$C$4</formula1>
    </dataValidation>
    <dataValidation sqref="N31" showDropDown="0" showInputMessage="0" showErrorMessage="0" allowBlank="1" type="list">
      <formula1>'⚙️ Config'!$C$2:$C$4</formula1>
    </dataValidation>
    <dataValidation sqref="O31" showDropDown="0" showInputMessage="0" showErrorMessage="0" allowBlank="1" type="list">
      <formula1>'⚙️ Config'!$G$2:$G$7</formula1>
    </dataValidation>
    <dataValidation sqref="B32" showDropDown="0" showInputMessage="0" showErrorMessage="0" allowBlank="1" type="list">
      <formula1>'🛤️ Learning Paths'!$B$4:$B$103</formula1>
    </dataValidation>
    <dataValidation sqref="H32" showDropDown="0" showInputMessage="0" showErrorMessage="0" allowBlank="1" type="list">
      <formula1>'⚙️ Config'!$B$2:$B$6</formula1>
    </dataValidation>
    <dataValidation sqref="J32" showDropDown="0" showInputMessage="0" showErrorMessage="0" allowBlank="1" type="list">
      <formula1>'⚙️ Config'!$A$2:$A$9</formula1>
    </dataValidation>
    <dataValidation sqref="L32" showDropDown="0" showInputMessage="0" showErrorMessage="0" allowBlank="1" type="list">
      <formula1>'⚙️ Config'!$C$2:$C$4</formula1>
    </dataValidation>
    <dataValidation sqref="N32" showDropDown="0" showInputMessage="0" showErrorMessage="0" allowBlank="1" type="list">
      <formula1>'⚙️ Config'!$C$2:$C$4</formula1>
    </dataValidation>
    <dataValidation sqref="O32" showDropDown="0" showInputMessage="0" showErrorMessage="0" allowBlank="1" type="list">
      <formula1>'⚙️ Config'!$G$2:$G$7</formula1>
    </dataValidation>
    <dataValidation sqref="B33" showDropDown="0" showInputMessage="0" showErrorMessage="0" allowBlank="1" type="list">
      <formula1>'🛤️ Learning Paths'!$B$4:$B$103</formula1>
    </dataValidation>
    <dataValidation sqref="H33" showDropDown="0" showInputMessage="0" showErrorMessage="0" allowBlank="1" type="list">
      <formula1>'⚙️ Config'!$B$2:$B$6</formula1>
    </dataValidation>
    <dataValidation sqref="J33" showDropDown="0" showInputMessage="0" showErrorMessage="0" allowBlank="1" type="list">
      <formula1>'⚙️ Config'!$A$2:$A$9</formula1>
    </dataValidation>
    <dataValidation sqref="L33" showDropDown="0" showInputMessage="0" showErrorMessage="0" allowBlank="1" type="list">
      <formula1>'⚙️ Config'!$C$2:$C$4</formula1>
    </dataValidation>
    <dataValidation sqref="N33" showDropDown="0" showInputMessage="0" showErrorMessage="0" allowBlank="1" type="list">
      <formula1>'⚙️ Config'!$C$2:$C$4</formula1>
    </dataValidation>
    <dataValidation sqref="O33" showDropDown="0" showInputMessage="0" showErrorMessage="0" allowBlank="1" type="list">
      <formula1>'⚙️ Config'!$G$2:$G$7</formula1>
    </dataValidation>
    <dataValidation sqref="B34" showDropDown="0" showInputMessage="0" showErrorMessage="0" allowBlank="1" type="list">
      <formula1>'🛤️ Learning Paths'!$B$4:$B$103</formula1>
    </dataValidation>
    <dataValidation sqref="H34" showDropDown="0" showInputMessage="0" showErrorMessage="0" allowBlank="1" type="list">
      <formula1>'⚙️ Config'!$B$2:$B$6</formula1>
    </dataValidation>
    <dataValidation sqref="J34" showDropDown="0" showInputMessage="0" showErrorMessage="0" allowBlank="1" type="list">
      <formula1>'⚙️ Config'!$A$2:$A$9</formula1>
    </dataValidation>
    <dataValidation sqref="L34" showDropDown="0" showInputMessage="0" showErrorMessage="0" allowBlank="1" type="list">
      <formula1>'⚙️ Config'!$C$2:$C$4</formula1>
    </dataValidation>
    <dataValidation sqref="N34" showDropDown="0" showInputMessage="0" showErrorMessage="0" allowBlank="1" type="list">
      <formula1>'⚙️ Config'!$C$2:$C$4</formula1>
    </dataValidation>
    <dataValidation sqref="O34" showDropDown="0" showInputMessage="0" showErrorMessage="0" allowBlank="1" type="list">
      <formula1>'⚙️ Config'!$G$2:$G$7</formula1>
    </dataValidation>
    <dataValidation sqref="B35" showDropDown="0" showInputMessage="0" showErrorMessage="0" allowBlank="1" type="list">
      <formula1>'🛤️ Learning Paths'!$B$4:$B$103</formula1>
    </dataValidation>
    <dataValidation sqref="H35" showDropDown="0" showInputMessage="0" showErrorMessage="0" allowBlank="1" type="list">
      <formula1>'⚙️ Config'!$B$2:$B$6</formula1>
    </dataValidation>
    <dataValidation sqref="J35" showDropDown="0" showInputMessage="0" showErrorMessage="0" allowBlank="1" type="list">
      <formula1>'⚙️ Config'!$A$2:$A$9</formula1>
    </dataValidation>
    <dataValidation sqref="L35" showDropDown="0" showInputMessage="0" showErrorMessage="0" allowBlank="1" type="list">
      <formula1>'⚙️ Config'!$C$2:$C$4</formula1>
    </dataValidation>
    <dataValidation sqref="N35" showDropDown="0" showInputMessage="0" showErrorMessage="0" allowBlank="1" type="list">
      <formula1>'⚙️ Config'!$C$2:$C$4</formula1>
    </dataValidation>
    <dataValidation sqref="O35" showDropDown="0" showInputMessage="0" showErrorMessage="0" allowBlank="1" type="list">
      <formula1>'⚙️ Config'!$G$2:$G$7</formula1>
    </dataValidation>
    <dataValidation sqref="B36" showDropDown="0" showInputMessage="0" showErrorMessage="0" allowBlank="1" type="list">
      <formula1>'🛤️ Learning Paths'!$B$4:$B$103</formula1>
    </dataValidation>
    <dataValidation sqref="H36" showDropDown="0" showInputMessage="0" showErrorMessage="0" allowBlank="1" type="list">
      <formula1>'⚙️ Config'!$B$2:$B$6</formula1>
    </dataValidation>
    <dataValidation sqref="J36" showDropDown="0" showInputMessage="0" showErrorMessage="0" allowBlank="1" type="list">
      <formula1>'⚙️ Config'!$A$2:$A$9</formula1>
    </dataValidation>
    <dataValidation sqref="L36" showDropDown="0" showInputMessage="0" showErrorMessage="0" allowBlank="1" type="list">
      <formula1>'⚙️ Config'!$C$2:$C$4</formula1>
    </dataValidation>
    <dataValidation sqref="N36" showDropDown="0" showInputMessage="0" showErrorMessage="0" allowBlank="1" type="list">
      <formula1>'⚙️ Config'!$C$2:$C$4</formula1>
    </dataValidation>
    <dataValidation sqref="O36" showDropDown="0" showInputMessage="0" showErrorMessage="0" allowBlank="1" type="list">
      <formula1>'⚙️ Config'!$G$2:$G$7</formula1>
    </dataValidation>
    <dataValidation sqref="B37" showDropDown="0" showInputMessage="0" showErrorMessage="0" allowBlank="1" type="list">
      <formula1>'🛤️ Learning Paths'!$B$4:$B$103</formula1>
    </dataValidation>
    <dataValidation sqref="H37" showDropDown="0" showInputMessage="0" showErrorMessage="0" allowBlank="1" type="list">
      <formula1>'⚙️ Config'!$B$2:$B$6</formula1>
    </dataValidation>
    <dataValidation sqref="J37" showDropDown="0" showInputMessage="0" showErrorMessage="0" allowBlank="1" type="list">
      <formula1>'⚙️ Config'!$A$2:$A$9</formula1>
    </dataValidation>
    <dataValidation sqref="L37" showDropDown="0" showInputMessage="0" showErrorMessage="0" allowBlank="1" type="list">
      <formula1>'⚙️ Config'!$C$2:$C$4</formula1>
    </dataValidation>
    <dataValidation sqref="N37" showDropDown="0" showInputMessage="0" showErrorMessage="0" allowBlank="1" type="list">
      <formula1>'⚙️ Config'!$C$2:$C$4</formula1>
    </dataValidation>
    <dataValidation sqref="O37" showDropDown="0" showInputMessage="0" showErrorMessage="0" allowBlank="1" type="list">
      <formula1>'⚙️ Config'!$G$2:$G$7</formula1>
    </dataValidation>
    <dataValidation sqref="B38" showDropDown="0" showInputMessage="0" showErrorMessage="0" allowBlank="1" type="list">
      <formula1>'🛤️ Learning Paths'!$B$4:$B$103</formula1>
    </dataValidation>
    <dataValidation sqref="H38" showDropDown="0" showInputMessage="0" showErrorMessage="0" allowBlank="1" type="list">
      <formula1>'⚙️ Config'!$B$2:$B$6</formula1>
    </dataValidation>
    <dataValidation sqref="J38" showDropDown="0" showInputMessage="0" showErrorMessage="0" allowBlank="1" type="list">
      <formula1>'⚙️ Config'!$A$2:$A$9</formula1>
    </dataValidation>
    <dataValidation sqref="L38" showDropDown="0" showInputMessage="0" showErrorMessage="0" allowBlank="1" type="list">
      <formula1>'⚙️ Config'!$C$2:$C$4</formula1>
    </dataValidation>
    <dataValidation sqref="N38" showDropDown="0" showInputMessage="0" showErrorMessage="0" allowBlank="1" type="list">
      <formula1>'⚙️ Config'!$C$2:$C$4</formula1>
    </dataValidation>
    <dataValidation sqref="O38" showDropDown="0" showInputMessage="0" showErrorMessage="0" allowBlank="1" type="list">
      <formula1>'⚙️ Config'!$G$2:$G$7</formula1>
    </dataValidation>
    <dataValidation sqref="B39" showDropDown="0" showInputMessage="0" showErrorMessage="0" allowBlank="1" type="list">
      <formula1>'🛤️ Learning Paths'!$B$4:$B$103</formula1>
    </dataValidation>
    <dataValidation sqref="H39" showDropDown="0" showInputMessage="0" showErrorMessage="0" allowBlank="1" type="list">
      <formula1>'⚙️ Config'!$B$2:$B$6</formula1>
    </dataValidation>
    <dataValidation sqref="J39" showDropDown="0" showInputMessage="0" showErrorMessage="0" allowBlank="1" type="list">
      <formula1>'⚙️ Config'!$A$2:$A$9</formula1>
    </dataValidation>
    <dataValidation sqref="L39" showDropDown="0" showInputMessage="0" showErrorMessage="0" allowBlank="1" type="list">
      <formula1>'⚙️ Config'!$C$2:$C$4</formula1>
    </dataValidation>
    <dataValidation sqref="N39" showDropDown="0" showInputMessage="0" showErrorMessage="0" allowBlank="1" type="list">
      <formula1>'⚙️ Config'!$C$2:$C$4</formula1>
    </dataValidation>
    <dataValidation sqref="O39" showDropDown="0" showInputMessage="0" showErrorMessage="0" allowBlank="1" type="list">
      <formula1>'⚙️ Config'!$G$2:$G$7</formula1>
    </dataValidation>
    <dataValidation sqref="B40" showDropDown="0" showInputMessage="0" showErrorMessage="0" allowBlank="1" type="list">
      <formula1>'🛤️ Learning Paths'!$B$4:$B$103</formula1>
    </dataValidation>
    <dataValidation sqref="H40" showDropDown="0" showInputMessage="0" showErrorMessage="0" allowBlank="1" type="list">
      <formula1>'⚙️ Config'!$B$2:$B$6</formula1>
    </dataValidation>
    <dataValidation sqref="J40" showDropDown="0" showInputMessage="0" showErrorMessage="0" allowBlank="1" type="list">
      <formula1>'⚙️ Config'!$A$2:$A$9</formula1>
    </dataValidation>
    <dataValidation sqref="L40" showDropDown="0" showInputMessage="0" showErrorMessage="0" allowBlank="1" type="list">
      <formula1>'⚙️ Config'!$C$2:$C$4</formula1>
    </dataValidation>
    <dataValidation sqref="N40" showDropDown="0" showInputMessage="0" showErrorMessage="0" allowBlank="1" type="list">
      <formula1>'⚙️ Config'!$C$2:$C$4</formula1>
    </dataValidation>
    <dataValidation sqref="O40" showDropDown="0" showInputMessage="0" showErrorMessage="0" allowBlank="1" type="list">
      <formula1>'⚙️ Config'!$G$2:$G$7</formula1>
    </dataValidation>
    <dataValidation sqref="B41" showDropDown="0" showInputMessage="0" showErrorMessage="0" allowBlank="1" type="list">
      <formula1>'🛤️ Learning Paths'!$B$4:$B$103</formula1>
    </dataValidation>
    <dataValidation sqref="H41" showDropDown="0" showInputMessage="0" showErrorMessage="0" allowBlank="1" type="list">
      <formula1>'⚙️ Config'!$B$2:$B$6</formula1>
    </dataValidation>
    <dataValidation sqref="J41" showDropDown="0" showInputMessage="0" showErrorMessage="0" allowBlank="1" type="list">
      <formula1>'⚙️ Config'!$A$2:$A$9</formula1>
    </dataValidation>
    <dataValidation sqref="L41" showDropDown="0" showInputMessage="0" showErrorMessage="0" allowBlank="1" type="list">
      <formula1>'⚙️ Config'!$C$2:$C$4</formula1>
    </dataValidation>
    <dataValidation sqref="N41" showDropDown="0" showInputMessage="0" showErrorMessage="0" allowBlank="1" type="list">
      <formula1>'⚙️ Config'!$C$2:$C$4</formula1>
    </dataValidation>
    <dataValidation sqref="O41" showDropDown="0" showInputMessage="0" showErrorMessage="0" allowBlank="1" type="list">
      <formula1>'⚙️ Config'!$G$2:$G$7</formula1>
    </dataValidation>
    <dataValidation sqref="B42" showDropDown="0" showInputMessage="0" showErrorMessage="0" allowBlank="1" type="list">
      <formula1>'🛤️ Learning Paths'!$B$4:$B$103</formula1>
    </dataValidation>
    <dataValidation sqref="H42" showDropDown="0" showInputMessage="0" showErrorMessage="0" allowBlank="1" type="list">
      <formula1>'⚙️ Config'!$B$2:$B$6</formula1>
    </dataValidation>
    <dataValidation sqref="J42" showDropDown="0" showInputMessage="0" showErrorMessage="0" allowBlank="1" type="list">
      <formula1>'⚙️ Config'!$A$2:$A$9</formula1>
    </dataValidation>
    <dataValidation sqref="L42" showDropDown="0" showInputMessage="0" showErrorMessage="0" allowBlank="1" type="list">
      <formula1>'⚙️ Config'!$C$2:$C$4</formula1>
    </dataValidation>
    <dataValidation sqref="N42" showDropDown="0" showInputMessage="0" showErrorMessage="0" allowBlank="1" type="list">
      <formula1>'⚙️ Config'!$C$2:$C$4</formula1>
    </dataValidation>
    <dataValidation sqref="O42" showDropDown="0" showInputMessage="0" showErrorMessage="0" allowBlank="1" type="list">
      <formula1>'⚙️ Config'!$G$2:$G$7</formula1>
    </dataValidation>
    <dataValidation sqref="B43" showDropDown="0" showInputMessage="0" showErrorMessage="0" allowBlank="1" type="list">
      <formula1>'🛤️ Learning Paths'!$B$4:$B$103</formula1>
    </dataValidation>
    <dataValidation sqref="H43" showDropDown="0" showInputMessage="0" showErrorMessage="0" allowBlank="1" type="list">
      <formula1>'⚙️ Config'!$B$2:$B$6</formula1>
    </dataValidation>
    <dataValidation sqref="J43" showDropDown="0" showInputMessage="0" showErrorMessage="0" allowBlank="1" type="list">
      <formula1>'⚙️ Config'!$A$2:$A$9</formula1>
    </dataValidation>
    <dataValidation sqref="L43" showDropDown="0" showInputMessage="0" showErrorMessage="0" allowBlank="1" type="list">
      <formula1>'⚙️ Config'!$C$2:$C$4</formula1>
    </dataValidation>
    <dataValidation sqref="N43" showDropDown="0" showInputMessage="0" showErrorMessage="0" allowBlank="1" type="list">
      <formula1>'⚙️ Config'!$C$2:$C$4</formula1>
    </dataValidation>
    <dataValidation sqref="O43" showDropDown="0" showInputMessage="0" showErrorMessage="0" allowBlank="1" type="list">
      <formula1>'⚙️ Config'!$G$2:$G$7</formula1>
    </dataValidation>
    <dataValidation sqref="B44" showDropDown="0" showInputMessage="0" showErrorMessage="0" allowBlank="1" type="list">
      <formula1>'🛤️ Learning Paths'!$B$4:$B$103</formula1>
    </dataValidation>
    <dataValidation sqref="H44" showDropDown="0" showInputMessage="0" showErrorMessage="0" allowBlank="1" type="list">
      <formula1>'⚙️ Config'!$B$2:$B$6</formula1>
    </dataValidation>
    <dataValidation sqref="J44" showDropDown="0" showInputMessage="0" showErrorMessage="0" allowBlank="1" type="list">
      <formula1>'⚙️ Config'!$A$2:$A$9</formula1>
    </dataValidation>
    <dataValidation sqref="L44" showDropDown="0" showInputMessage="0" showErrorMessage="0" allowBlank="1" type="list">
      <formula1>'⚙️ Config'!$C$2:$C$4</formula1>
    </dataValidation>
    <dataValidation sqref="N44" showDropDown="0" showInputMessage="0" showErrorMessage="0" allowBlank="1" type="list">
      <formula1>'⚙️ Config'!$C$2:$C$4</formula1>
    </dataValidation>
    <dataValidation sqref="O44" showDropDown="0" showInputMessage="0" showErrorMessage="0" allowBlank="1" type="list">
      <formula1>'⚙️ Config'!$G$2:$G$7</formula1>
    </dataValidation>
    <dataValidation sqref="B45" showDropDown="0" showInputMessage="0" showErrorMessage="0" allowBlank="1" type="list">
      <formula1>'🛤️ Learning Paths'!$B$4:$B$103</formula1>
    </dataValidation>
    <dataValidation sqref="H45" showDropDown="0" showInputMessage="0" showErrorMessage="0" allowBlank="1" type="list">
      <formula1>'⚙️ Config'!$B$2:$B$6</formula1>
    </dataValidation>
    <dataValidation sqref="J45" showDropDown="0" showInputMessage="0" showErrorMessage="0" allowBlank="1" type="list">
      <formula1>'⚙️ Config'!$A$2:$A$9</formula1>
    </dataValidation>
    <dataValidation sqref="L45" showDropDown="0" showInputMessage="0" showErrorMessage="0" allowBlank="1" type="list">
      <formula1>'⚙️ Config'!$C$2:$C$4</formula1>
    </dataValidation>
    <dataValidation sqref="N45" showDropDown="0" showInputMessage="0" showErrorMessage="0" allowBlank="1" type="list">
      <formula1>'⚙️ Config'!$C$2:$C$4</formula1>
    </dataValidation>
    <dataValidation sqref="O45" showDropDown="0" showInputMessage="0" showErrorMessage="0" allowBlank="1" type="list">
      <formula1>'⚙️ Config'!$G$2:$G$7</formula1>
    </dataValidation>
    <dataValidation sqref="B46" showDropDown="0" showInputMessage="0" showErrorMessage="0" allowBlank="1" type="list">
      <formula1>'🛤️ Learning Paths'!$B$4:$B$103</formula1>
    </dataValidation>
    <dataValidation sqref="H46" showDropDown="0" showInputMessage="0" showErrorMessage="0" allowBlank="1" type="list">
      <formula1>'⚙️ Config'!$B$2:$B$6</formula1>
    </dataValidation>
    <dataValidation sqref="J46" showDropDown="0" showInputMessage="0" showErrorMessage="0" allowBlank="1" type="list">
      <formula1>'⚙️ Config'!$A$2:$A$9</formula1>
    </dataValidation>
    <dataValidation sqref="L46" showDropDown="0" showInputMessage="0" showErrorMessage="0" allowBlank="1" type="list">
      <formula1>'⚙️ Config'!$C$2:$C$4</formula1>
    </dataValidation>
    <dataValidation sqref="N46" showDropDown="0" showInputMessage="0" showErrorMessage="0" allowBlank="1" type="list">
      <formula1>'⚙️ Config'!$C$2:$C$4</formula1>
    </dataValidation>
    <dataValidation sqref="O46" showDropDown="0" showInputMessage="0" showErrorMessage="0" allowBlank="1" type="list">
      <formula1>'⚙️ Config'!$G$2:$G$7</formula1>
    </dataValidation>
    <dataValidation sqref="B47" showDropDown="0" showInputMessage="0" showErrorMessage="0" allowBlank="1" type="list">
      <formula1>'🛤️ Learning Paths'!$B$4:$B$103</formula1>
    </dataValidation>
    <dataValidation sqref="H47" showDropDown="0" showInputMessage="0" showErrorMessage="0" allowBlank="1" type="list">
      <formula1>'⚙️ Config'!$B$2:$B$6</formula1>
    </dataValidation>
    <dataValidation sqref="J47" showDropDown="0" showInputMessage="0" showErrorMessage="0" allowBlank="1" type="list">
      <formula1>'⚙️ Config'!$A$2:$A$9</formula1>
    </dataValidation>
    <dataValidation sqref="L47" showDropDown="0" showInputMessage="0" showErrorMessage="0" allowBlank="1" type="list">
      <formula1>'⚙️ Config'!$C$2:$C$4</formula1>
    </dataValidation>
    <dataValidation sqref="N47" showDropDown="0" showInputMessage="0" showErrorMessage="0" allowBlank="1" type="list">
      <formula1>'⚙️ Config'!$C$2:$C$4</formula1>
    </dataValidation>
    <dataValidation sqref="O47" showDropDown="0" showInputMessage="0" showErrorMessage="0" allowBlank="1" type="list">
      <formula1>'⚙️ Config'!$G$2:$G$7</formula1>
    </dataValidation>
    <dataValidation sqref="B48" showDropDown="0" showInputMessage="0" showErrorMessage="0" allowBlank="1" type="list">
      <formula1>'🛤️ Learning Paths'!$B$4:$B$103</formula1>
    </dataValidation>
    <dataValidation sqref="H48" showDropDown="0" showInputMessage="0" showErrorMessage="0" allowBlank="1" type="list">
      <formula1>'⚙️ Config'!$B$2:$B$6</formula1>
    </dataValidation>
    <dataValidation sqref="J48" showDropDown="0" showInputMessage="0" showErrorMessage="0" allowBlank="1" type="list">
      <formula1>'⚙️ Config'!$A$2:$A$9</formula1>
    </dataValidation>
    <dataValidation sqref="L48" showDropDown="0" showInputMessage="0" showErrorMessage="0" allowBlank="1" type="list">
      <formula1>'⚙️ Config'!$C$2:$C$4</formula1>
    </dataValidation>
    <dataValidation sqref="N48" showDropDown="0" showInputMessage="0" showErrorMessage="0" allowBlank="1" type="list">
      <formula1>'⚙️ Config'!$C$2:$C$4</formula1>
    </dataValidation>
    <dataValidation sqref="O48" showDropDown="0" showInputMessage="0" showErrorMessage="0" allowBlank="1" type="list">
      <formula1>'⚙️ Config'!$G$2:$G$7</formula1>
    </dataValidation>
    <dataValidation sqref="B49" showDropDown="0" showInputMessage="0" showErrorMessage="0" allowBlank="1" type="list">
      <formula1>'🛤️ Learning Paths'!$B$4:$B$103</formula1>
    </dataValidation>
    <dataValidation sqref="H49" showDropDown="0" showInputMessage="0" showErrorMessage="0" allowBlank="1" type="list">
      <formula1>'⚙️ Config'!$B$2:$B$6</formula1>
    </dataValidation>
    <dataValidation sqref="J49" showDropDown="0" showInputMessage="0" showErrorMessage="0" allowBlank="1" type="list">
      <formula1>'⚙️ Config'!$A$2:$A$9</formula1>
    </dataValidation>
    <dataValidation sqref="L49" showDropDown="0" showInputMessage="0" showErrorMessage="0" allowBlank="1" type="list">
      <formula1>'⚙️ Config'!$C$2:$C$4</formula1>
    </dataValidation>
    <dataValidation sqref="N49" showDropDown="0" showInputMessage="0" showErrorMessage="0" allowBlank="1" type="list">
      <formula1>'⚙️ Config'!$C$2:$C$4</formula1>
    </dataValidation>
    <dataValidation sqref="O49" showDropDown="0" showInputMessage="0" showErrorMessage="0" allowBlank="1" type="list">
      <formula1>'⚙️ Config'!$G$2:$G$7</formula1>
    </dataValidation>
    <dataValidation sqref="B50" showDropDown="0" showInputMessage="0" showErrorMessage="0" allowBlank="1" type="list">
      <formula1>'🛤️ Learning Paths'!$B$4:$B$103</formula1>
    </dataValidation>
    <dataValidation sqref="H50" showDropDown="0" showInputMessage="0" showErrorMessage="0" allowBlank="1" type="list">
      <formula1>'⚙️ Config'!$B$2:$B$6</formula1>
    </dataValidation>
    <dataValidation sqref="J50" showDropDown="0" showInputMessage="0" showErrorMessage="0" allowBlank="1" type="list">
      <formula1>'⚙️ Config'!$A$2:$A$9</formula1>
    </dataValidation>
    <dataValidation sqref="L50" showDropDown="0" showInputMessage="0" showErrorMessage="0" allowBlank="1" type="list">
      <formula1>'⚙️ Config'!$C$2:$C$4</formula1>
    </dataValidation>
    <dataValidation sqref="N50" showDropDown="0" showInputMessage="0" showErrorMessage="0" allowBlank="1" type="list">
      <formula1>'⚙️ Config'!$C$2:$C$4</formula1>
    </dataValidation>
    <dataValidation sqref="O50" showDropDown="0" showInputMessage="0" showErrorMessage="0" allowBlank="1" type="list">
      <formula1>'⚙️ Config'!$G$2:$G$7</formula1>
    </dataValidation>
    <dataValidation sqref="B51" showDropDown="0" showInputMessage="0" showErrorMessage="0" allowBlank="1" type="list">
      <formula1>'🛤️ Learning Paths'!$B$4:$B$103</formula1>
    </dataValidation>
    <dataValidation sqref="H51" showDropDown="0" showInputMessage="0" showErrorMessage="0" allowBlank="1" type="list">
      <formula1>'⚙️ Config'!$B$2:$B$6</formula1>
    </dataValidation>
    <dataValidation sqref="J51" showDropDown="0" showInputMessage="0" showErrorMessage="0" allowBlank="1" type="list">
      <formula1>'⚙️ Config'!$A$2:$A$9</formula1>
    </dataValidation>
    <dataValidation sqref="L51" showDropDown="0" showInputMessage="0" showErrorMessage="0" allowBlank="1" type="list">
      <formula1>'⚙️ Config'!$C$2:$C$4</formula1>
    </dataValidation>
    <dataValidation sqref="N51" showDropDown="0" showInputMessage="0" showErrorMessage="0" allowBlank="1" type="list">
      <formula1>'⚙️ Config'!$C$2:$C$4</formula1>
    </dataValidation>
    <dataValidation sqref="O51" showDropDown="0" showInputMessage="0" showErrorMessage="0" allowBlank="1" type="list">
      <formula1>'⚙️ Config'!$G$2:$G$7</formula1>
    </dataValidation>
    <dataValidation sqref="B52" showDropDown="0" showInputMessage="0" showErrorMessage="0" allowBlank="1" type="list">
      <formula1>'🛤️ Learning Paths'!$B$4:$B$103</formula1>
    </dataValidation>
    <dataValidation sqref="H52" showDropDown="0" showInputMessage="0" showErrorMessage="0" allowBlank="1" type="list">
      <formula1>'⚙️ Config'!$B$2:$B$6</formula1>
    </dataValidation>
    <dataValidation sqref="J52" showDropDown="0" showInputMessage="0" showErrorMessage="0" allowBlank="1" type="list">
      <formula1>'⚙️ Config'!$A$2:$A$9</formula1>
    </dataValidation>
    <dataValidation sqref="L52" showDropDown="0" showInputMessage="0" showErrorMessage="0" allowBlank="1" type="list">
      <formula1>'⚙️ Config'!$C$2:$C$4</formula1>
    </dataValidation>
    <dataValidation sqref="N52" showDropDown="0" showInputMessage="0" showErrorMessage="0" allowBlank="1" type="list">
      <formula1>'⚙️ Config'!$C$2:$C$4</formula1>
    </dataValidation>
    <dataValidation sqref="O52" showDropDown="0" showInputMessage="0" showErrorMessage="0" allowBlank="1" type="list">
      <formula1>'⚙️ Config'!$G$2:$G$7</formula1>
    </dataValidation>
    <dataValidation sqref="B53" showDropDown="0" showInputMessage="0" showErrorMessage="0" allowBlank="1" type="list">
      <formula1>'🛤️ Learning Paths'!$B$4:$B$103</formula1>
    </dataValidation>
    <dataValidation sqref="H53" showDropDown="0" showInputMessage="0" showErrorMessage="0" allowBlank="1" type="list">
      <formula1>'⚙️ Config'!$B$2:$B$6</formula1>
    </dataValidation>
    <dataValidation sqref="J53" showDropDown="0" showInputMessage="0" showErrorMessage="0" allowBlank="1" type="list">
      <formula1>'⚙️ Config'!$A$2:$A$9</formula1>
    </dataValidation>
    <dataValidation sqref="L53" showDropDown="0" showInputMessage="0" showErrorMessage="0" allowBlank="1" type="list">
      <formula1>'⚙️ Config'!$C$2:$C$4</formula1>
    </dataValidation>
    <dataValidation sqref="N53" showDropDown="0" showInputMessage="0" showErrorMessage="0" allowBlank="1" type="list">
      <formula1>'⚙️ Config'!$C$2:$C$4</formula1>
    </dataValidation>
    <dataValidation sqref="O53" showDropDown="0" showInputMessage="0" showErrorMessage="0" allowBlank="1" type="list">
      <formula1>'⚙️ Config'!$G$2:$G$7</formula1>
    </dataValidation>
    <dataValidation sqref="B54" showDropDown="0" showInputMessage="0" showErrorMessage="0" allowBlank="1" type="list">
      <formula1>'🛤️ Learning Paths'!$B$4:$B$103</formula1>
    </dataValidation>
    <dataValidation sqref="H54" showDropDown="0" showInputMessage="0" showErrorMessage="0" allowBlank="1" type="list">
      <formula1>'⚙️ Config'!$B$2:$B$6</formula1>
    </dataValidation>
    <dataValidation sqref="J54" showDropDown="0" showInputMessage="0" showErrorMessage="0" allowBlank="1" type="list">
      <formula1>'⚙️ Config'!$A$2:$A$9</formula1>
    </dataValidation>
    <dataValidation sqref="L54" showDropDown="0" showInputMessage="0" showErrorMessage="0" allowBlank="1" type="list">
      <formula1>'⚙️ Config'!$C$2:$C$4</formula1>
    </dataValidation>
    <dataValidation sqref="N54" showDropDown="0" showInputMessage="0" showErrorMessage="0" allowBlank="1" type="list">
      <formula1>'⚙️ Config'!$C$2:$C$4</formula1>
    </dataValidation>
    <dataValidation sqref="O54" showDropDown="0" showInputMessage="0" showErrorMessage="0" allowBlank="1" type="list">
      <formula1>'⚙️ Config'!$G$2:$G$7</formula1>
    </dataValidation>
    <dataValidation sqref="B55" showDropDown="0" showInputMessage="0" showErrorMessage="0" allowBlank="1" type="list">
      <formula1>'🛤️ Learning Paths'!$B$4:$B$103</formula1>
    </dataValidation>
    <dataValidation sqref="H55" showDropDown="0" showInputMessage="0" showErrorMessage="0" allowBlank="1" type="list">
      <formula1>'⚙️ Config'!$B$2:$B$6</formula1>
    </dataValidation>
    <dataValidation sqref="J55" showDropDown="0" showInputMessage="0" showErrorMessage="0" allowBlank="1" type="list">
      <formula1>'⚙️ Config'!$A$2:$A$9</formula1>
    </dataValidation>
    <dataValidation sqref="L55" showDropDown="0" showInputMessage="0" showErrorMessage="0" allowBlank="1" type="list">
      <formula1>'⚙️ Config'!$C$2:$C$4</formula1>
    </dataValidation>
    <dataValidation sqref="N55" showDropDown="0" showInputMessage="0" showErrorMessage="0" allowBlank="1" type="list">
      <formula1>'⚙️ Config'!$C$2:$C$4</formula1>
    </dataValidation>
    <dataValidation sqref="O55" showDropDown="0" showInputMessage="0" showErrorMessage="0" allowBlank="1" type="list">
      <formula1>'⚙️ Config'!$G$2:$G$7</formula1>
    </dataValidation>
    <dataValidation sqref="B56" showDropDown="0" showInputMessage="0" showErrorMessage="0" allowBlank="1" type="list">
      <formula1>'🛤️ Learning Paths'!$B$4:$B$103</formula1>
    </dataValidation>
    <dataValidation sqref="H56" showDropDown="0" showInputMessage="0" showErrorMessage="0" allowBlank="1" type="list">
      <formula1>'⚙️ Config'!$B$2:$B$6</formula1>
    </dataValidation>
    <dataValidation sqref="J56" showDropDown="0" showInputMessage="0" showErrorMessage="0" allowBlank="1" type="list">
      <formula1>'⚙️ Config'!$A$2:$A$9</formula1>
    </dataValidation>
    <dataValidation sqref="L56" showDropDown="0" showInputMessage="0" showErrorMessage="0" allowBlank="1" type="list">
      <formula1>'⚙️ Config'!$C$2:$C$4</formula1>
    </dataValidation>
    <dataValidation sqref="N56" showDropDown="0" showInputMessage="0" showErrorMessage="0" allowBlank="1" type="list">
      <formula1>'⚙️ Config'!$C$2:$C$4</formula1>
    </dataValidation>
    <dataValidation sqref="O56" showDropDown="0" showInputMessage="0" showErrorMessage="0" allowBlank="1" type="list">
      <formula1>'⚙️ Config'!$G$2:$G$7</formula1>
    </dataValidation>
    <dataValidation sqref="B57" showDropDown="0" showInputMessage="0" showErrorMessage="0" allowBlank="1" type="list">
      <formula1>'🛤️ Learning Paths'!$B$4:$B$103</formula1>
    </dataValidation>
    <dataValidation sqref="H57" showDropDown="0" showInputMessage="0" showErrorMessage="0" allowBlank="1" type="list">
      <formula1>'⚙️ Config'!$B$2:$B$6</formula1>
    </dataValidation>
    <dataValidation sqref="J57" showDropDown="0" showInputMessage="0" showErrorMessage="0" allowBlank="1" type="list">
      <formula1>'⚙️ Config'!$A$2:$A$9</formula1>
    </dataValidation>
    <dataValidation sqref="L57" showDropDown="0" showInputMessage="0" showErrorMessage="0" allowBlank="1" type="list">
      <formula1>'⚙️ Config'!$C$2:$C$4</formula1>
    </dataValidation>
    <dataValidation sqref="N57" showDropDown="0" showInputMessage="0" showErrorMessage="0" allowBlank="1" type="list">
      <formula1>'⚙️ Config'!$C$2:$C$4</formula1>
    </dataValidation>
    <dataValidation sqref="O57" showDropDown="0" showInputMessage="0" showErrorMessage="0" allowBlank="1" type="list">
      <formula1>'⚙️ Config'!$G$2:$G$7</formula1>
    </dataValidation>
    <dataValidation sqref="B58" showDropDown="0" showInputMessage="0" showErrorMessage="0" allowBlank="1" type="list">
      <formula1>'🛤️ Learning Paths'!$B$4:$B$103</formula1>
    </dataValidation>
    <dataValidation sqref="H58" showDropDown="0" showInputMessage="0" showErrorMessage="0" allowBlank="1" type="list">
      <formula1>'⚙️ Config'!$B$2:$B$6</formula1>
    </dataValidation>
    <dataValidation sqref="J58" showDropDown="0" showInputMessage="0" showErrorMessage="0" allowBlank="1" type="list">
      <formula1>'⚙️ Config'!$A$2:$A$9</formula1>
    </dataValidation>
    <dataValidation sqref="L58" showDropDown="0" showInputMessage="0" showErrorMessage="0" allowBlank="1" type="list">
      <formula1>'⚙️ Config'!$C$2:$C$4</formula1>
    </dataValidation>
    <dataValidation sqref="N58" showDropDown="0" showInputMessage="0" showErrorMessage="0" allowBlank="1" type="list">
      <formula1>'⚙️ Config'!$C$2:$C$4</formula1>
    </dataValidation>
    <dataValidation sqref="O58" showDropDown="0" showInputMessage="0" showErrorMessage="0" allowBlank="1" type="list">
      <formula1>'⚙️ Config'!$G$2:$G$7</formula1>
    </dataValidation>
    <dataValidation sqref="B59" showDropDown="0" showInputMessage="0" showErrorMessage="0" allowBlank="1" type="list">
      <formula1>'🛤️ Learning Paths'!$B$4:$B$103</formula1>
    </dataValidation>
    <dataValidation sqref="H59" showDropDown="0" showInputMessage="0" showErrorMessage="0" allowBlank="1" type="list">
      <formula1>'⚙️ Config'!$B$2:$B$6</formula1>
    </dataValidation>
    <dataValidation sqref="J59" showDropDown="0" showInputMessage="0" showErrorMessage="0" allowBlank="1" type="list">
      <formula1>'⚙️ Config'!$A$2:$A$9</formula1>
    </dataValidation>
    <dataValidation sqref="L59" showDropDown="0" showInputMessage="0" showErrorMessage="0" allowBlank="1" type="list">
      <formula1>'⚙️ Config'!$C$2:$C$4</formula1>
    </dataValidation>
    <dataValidation sqref="N59" showDropDown="0" showInputMessage="0" showErrorMessage="0" allowBlank="1" type="list">
      <formula1>'⚙️ Config'!$C$2:$C$4</formula1>
    </dataValidation>
    <dataValidation sqref="O59" showDropDown="0" showInputMessage="0" showErrorMessage="0" allowBlank="1" type="list">
      <formula1>'⚙️ Config'!$G$2:$G$7</formula1>
    </dataValidation>
    <dataValidation sqref="B60" showDropDown="0" showInputMessage="0" showErrorMessage="0" allowBlank="1" type="list">
      <formula1>'🛤️ Learning Paths'!$B$4:$B$103</formula1>
    </dataValidation>
    <dataValidation sqref="H60" showDropDown="0" showInputMessage="0" showErrorMessage="0" allowBlank="1" type="list">
      <formula1>'⚙️ Config'!$B$2:$B$6</formula1>
    </dataValidation>
    <dataValidation sqref="J60" showDropDown="0" showInputMessage="0" showErrorMessage="0" allowBlank="1" type="list">
      <formula1>'⚙️ Config'!$A$2:$A$9</formula1>
    </dataValidation>
    <dataValidation sqref="L60" showDropDown="0" showInputMessage="0" showErrorMessage="0" allowBlank="1" type="list">
      <formula1>'⚙️ Config'!$C$2:$C$4</formula1>
    </dataValidation>
    <dataValidation sqref="N60" showDropDown="0" showInputMessage="0" showErrorMessage="0" allowBlank="1" type="list">
      <formula1>'⚙️ Config'!$C$2:$C$4</formula1>
    </dataValidation>
    <dataValidation sqref="O60" showDropDown="0" showInputMessage="0" showErrorMessage="0" allowBlank="1" type="list">
      <formula1>'⚙️ Config'!$G$2:$G$7</formula1>
    </dataValidation>
    <dataValidation sqref="B61" showDropDown="0" showInputMessage="0" showErrorMessage="0" allowBlank="1" type="list">
      <formula1>'🛤️ Learning Paths'!$B$4:$B$103</formula1>
    </dataValidation>
    <dataValidation sqref="H61" showDropDown="0" showInputMessage="0" showErrorMessage="0" allowBlank="1" type="list">
      <formula1>'⚙️ Config'!$B$2:$B$6</formula1>
    </dataValidation>
    <dataValidation sqref="J61" showDropDown="0" showInputMessage="0" showErrorMessage="0" allowBlank="1" type="list">
      <formula1>'⚙️ Config'!$A$2:$A$9</formula1>
    </dataValidation>
    <dataValidation sqref="L61" showDropDown="0" showInputMessage="0" showErrorMessage="0" allowBlank="1" type="list">
      <formula1>'⚙️ Config'!$C$2:$C$4</formula1>
    </dataValidation>
    <dataValidation sqref="N61" showDropDown="0" showInputMessage="0" showErrorMessage="0" allowBlank="1" type="list">
      <formula1>'⚙️ Config'!$C$2:$C$4</formula1>
    </dataValidation>
    <dataValidation sqref="O61" showDropDown="0" showInputMessage="0" showErrorMessage="0" allowBlank="1" type="list">
      <formula1>'⚙️ Config'!$G$2:$G$7</formula1>
    </dataValidation>
    <dataValidation sqref="B62" showDropDown="0" showInputMessage="0" showErrorMessage="0" allowBlank="1" type="list">
      <formula1>'🛤️ Learning Paths'!$B$4:$B$103</formula1>
    </dataValidation>
    <dataValidation sqref="H62" showDropDown="0" showInputMessage="0" showErrorMessage="0" allowBlank="1" type="list">
      <formula1>'⚙️ Config'!$B$2:$B$6</formula1>
    </dataValidation>
    <dataValidation sqref="J62" showDropDown="0" showInputMessage="0" showErrorMessage="0" allowBlank="1" type="list">
      <formula1>'⚙️ Config'!$A$2:$A$9</formula1>
    </dataValidation>
    <dataValidation sqref="L62" showDropDown="0" showInputMessage="0" showErrorMessage="0" allowBlank="1" type="list">
      <formula1>'⚙️ Config'!$C$2:$C$4</formula1>
    </dataValidation>
    <dataValidation sqref="N62" showDropDown="0" showInputMessage="0" showErrorMessage="0" allowBlank="1" type="list">
      <formula1>'⚙️ Config'!$C$2:$C$4</formula1>
    </dataValidation>
    <dataValidation sqref="O62" showDropDown="0" showInputMessage="0" showErrorMessage="0" allowBlank="1" type="list">
      <formula1>'⚙️ Config'!$G$2:$G$7</formula1>
    </dataValidation>
    <dataValidation sqref="B63" showDropDown="0" showInputMessage="0" showErrorMessage="0" allowBlank="1" type="list">
      <formula1>'🛤️ Learning Paths'!$B$4:$B$103</formula1>
    </dataValidation>
    <dataValidation sqref="H63" showDropDown="0" showInputMessage="0" showErrorMessage="0" allowBlank="1" type="list">
      <formula1>'⚙️ Config'!$B$2:$B$6</formula1>
    </dataValidation>
    <dataValidation sqref="J63" showDropDown="0" showInputMessage="0" showErrorMessage="0" allowBlank="1" type="list">
      <formula1>'⚙️ Config'!$A$2:$A$9</formula1>
    </dataValidation>
    <dataValidation sqref="L63" showDropDown="0" showInputMessage="0" showErrorMessage="0" allowBlank="1" type="list">
      <formula1>'⚙️ Config'!$C$2:$C$4</formula1>
    </dataValidation>
    <dataValidation sqref="N63" showDropDown="0" showInputMessage="0" showErrorMessage="0" allowBlank="1" type="list">
      <formula1>'⚙️ Config'!$C$2:$C$4</formula1>
    </dataValidation>
    <dataValidation sqref="O63" showDropDown="0" showInputMessage="0" showErrorMessage="0" allowBlank="1" type="list">
      <formula1>'⚙️ Config'!$G$2:$G$7</formula1>
    </dataValidation>
    <dataValidation sqref="B64" showDropDown="0" showInputMessage="0" showErrorMessage="0" allowBlank="1" type="list">
      <formula1>'🛤️ Learning Paths'!$B$4:$B$103</formula1>
    </dataValidation>
    <dataValidation sqref="H64" showDropDown="0" showInputMessage="0" showErrorMessage="0" allowBlank="1" type="list">
      <formula1>'⚙️ Config'!$B$2:$B$6</formula1>
    </dataValidation>
    <dataValidation sqref="J64" showDropDown="0" showInputMessage="0" showErrorMessage="0" allowBlank="1" type="list">
      <formula1>'⚙️ Config'!$A$2:$A$9</formula1>
    </dataValidation>
    <dataValidation sqref="L64" showDropDown="0" showInputMessage="0" showErrorMessage="0" allowBlank="1" type="list">
      <formula1>'⚙️ Config'!$C$2:$C$4</formula1>
    </dataValidation>
    <dataValidation sqref="N64" showDropDown="0" showInputMessage="0" showErrorMessage="0" allowBlank="1" type="list">
      <formula1>'⚙️ Config'!$C$2:$C$4</formula1>
    </dataValidation>
    <dataValidation sqref="O64" showDropDown="0" showInputMessage="0" showErrorMessage="0" allowBlank="1" type="list">
      <formula1>'⚙️ Config'!$G$2:$G$7</formula1>
    </dataValidation>
    <dataValidation sqref="B65" showDropDown="0" showInputMessage="0" showErrorMessage="0" allowBlank="1" type="list">
      <formula1>'🛤️ Learning Paths'!$B$4:$B$103</formula1>
    </dataValidation>
    <dataValidation sqref="H65" showDropDown="0" showInputMessage="0" showErrorMessage="0" allowBlank="1" type="list">
      <formula1>'⚙️ Config'!$B$2:$B$6</formula1>
    </dataValidation>
    <dataValidation sqref="J65" showDropDown="0" showInputMessage="0" showErrorMessage="0" allowBlank="1" type="list">
      <formula1>'⚙️ Config'!$A$2:$A$9</formula1>
    </dataValidation>
    <dataValidation sqref="L65" showDropDown="0" showInputMessage="0" showErrorMessage="0" allowBlank="1" type="list">
      <formula1>'⚙️ Config'!$C$2:$C$4</formula1>
    </dataValidation>
    <dataValidation sqref="N65" showDropDown="0" showInputMessage="0" showErrorMessage="0" allowBlank="1" type="list">
      <formula1>'⚙️ Config'!$C$2:$C$4</formula1>
    </dataValidation>
    <dataValidation sqref="O65" showDropDown="0" showInputMessage="0" showErrorMessage="0" allowBlank="1" type="list">
      <formula1>'⚙️ Config'!$G$2:$G$7</formula1>
    </dataValidation>
    <dataValidation sqref="B66" showDropDown="0" showInputMessage="0" showErrorMessage="0" allowBlank="1" type="list">
      <formula1>'🛤️ Learning Paths'!$B$4:$B$103</formula1>
    </dataValidation>
    <dataValidation sqref="H66" showDropDown="0" showInputMessage="0" showErrorMessage="0" allowBlank="1" type="list">
      <formula1>'⚙️ Config'!$B$2:$B$6</formula1>
    </dataValidation>
    <dataValidation sqref="J66" showDropDown="0" showInputMessage="0" showErrorMessage="0" allowBlank="1" type="list">
      <formula1>'⚙️ Config'!$A$2:$A$9</formula1>
    </dataValidation>
    <dataValidation sqref="L66" showDropDown="0" showInputMessage="0" showErrorMessage="0" allowBlank="1" type="list">
      <formula1>'⚙️ Config'!$C$2:$C$4</formula1>
    </dataValidation>
    <dataValidation sqref="N66" showDropDown="0" showInputMessage="0" showErrorMessage="0" allowBlank="1" type="list">
      <formula1>'⚙️ Config'!$C$2:$C$4</formula1>
    </dataValidation>
    <dataValidation sqref="O66" showDropDown="0" showInputMessage="0" showErrorMessage="0" allowBlank="1" type="list">
      <formula1>'⚙️ Config'!$G$2:$G$7</formula1>
    </dataValidation>
    <dataValidation sqref="B67" showDropDown="0" showInputMessage="0" showErrorMessage="0" allowBlank="1" type="list">
      <formula1>'🛤️ Learning Paths'!$B$4:$B$103</formula1>
    </dataValidation>
    <dataValidation sqref="H67" showDropDown="0" showInputMessage="0" showErrorMessage="0" allowBlank="1" type="list">
      <formula1>'⚙️ Config'!$B$2:$B$6</formula1>
    </dataValidation>
    <dataValidation sqref="J67" showDropDown="0" showInputMessage="0" showErrorMessage="0" allowBlank="1" type="list">
      <formula1>'⚙️ Config'!$A$2:$A$9</formula1>
    </dataValidation>
    <dataValidation sqref="L67" showDropDown="0" showInputMessage="0" showErrorMessage="0" allowBlank="1" type="list">
      <formula1>'⚙️ Config'!$C$2:$C$4</formula1>
    </dataValidation>
    <dataValidation sqref="N67" showDropDown="0" showInputMessage="0" showErrorMessage="0" allowBlank="1" type="list">
      <formula1>'⚙️ Config'!$C$2:$C$4</formula1>
    </dataValidation>
    <dataValidation sqref="O67" showDropDown="0" showInputMessage="0" showErrorMessage="0" allowBlank="1" type="list">
      <formula1>'⚙️ Config'!$G$2:$G$7</formula1>
    </dataValidation>
    <dataValidation sqref="B68" showDropDown="0" showInputMessage="0" showErrorMessage="0" allowBlank="1" type="list">
      <formula1>'🛤️ Learning Paths'!$B$4:$B$103</formula1>
    </dataValidation>
    <dataValidation sqref="H68" showDropDown="0" showInputMessage="0" showErrorMessage="0" allowBlank="1" type="list">
      <formula1>'⚙️ Config'!$B$2:$B$6</formula1>
    </dataValidation>
    <dataValidation sqref="J68" showDropDown="0" showInputMessage="0" showErrorMessage="0" allowBlank="1" type="list">
      <formula1>'⚙️ Config'!$A$2:$A$9</formula1>
    </dataValidation>
    <dataValidation sqref="L68" showDropDown="0" showInputMessage="0" showErrorMessage="0" allowBlank="1" type="list">
      <formula1>'⚙️ Config'!$C$2:$C$4</formula1>
    </dataValidation>
    <dataValidation sqref="N68" showDropDown="0" showInputMessage="0" showErrorMessage="0" allowBlank="1" type="list">
      <formula1>'⚙️ Config'!$C$2:$C$4</formula1>
    </dataValidation>
    <dataValidation sqref="O68" showDropDown="0" showInputMessage="0" showErrorMessage="0" allowBlank="1" type="list">
      <formula1>'⚙️ Config'!$G$2:$G$7</formula1>
    </dataValidation>
    <dataValidation sqref="B69" showDropDown="0" showInputMessage="0" showErrorMessage="0" allowBlank="1" type="list">
      <formula1>'🛤️ Learning Paths'!$B$4:$B$103</formula1>
    </dataValidation>
    <dataValidation sqref="H69" showDropDown="0" showInputMessage="0" showErrorMessage="0" allowBlank="1" type="list">
      <formula1>'⚙️ Config'!$B$2:$B$6</formula1>
    </dataValidation>
    <dataValidation sqref="J69" showDropDown="0" showInputMessage="0" showErrorMessage="0" allowBlank="1" type="list">
      <formula1>'⚙️ Config'!$A$2:$A$9</formula1>
    </dataValidation>
    <dataValidation sqref="L69" showDropDown="0" showInputMessage="0" showErrorMessage="0" allowBlank="1" type="list">
      <formula1>'⚙️ Config'!$C$2:$C$4</formula1>
    </dataValidation>
    <dataValidation sqref="N69" showDropDown="0" showInputMessage="0" showErrorMessage="0" allowBlank="1" type="list">
      <formula1>'⚙️ Config'!$C$2:$C$4</formula1>
    </dataValidation>
    <dataValidation sqref="O69" showDropDown="0" showInputMessage="0" showErrorMessage="0" allowBlank="1" type="list">
      <formula1>'⚙️ Config'!$G$2:$G$7</formula1>
    </dataValidation>
    <dataValidation sqref="B70" showDropDown="0" showInputMessage="0" showErrorMessage="0" allowBlank="1" type="list">
      <formula1>'🛤️ Learning Paths'!$B$4:$B$103</formula1>
    </dataValidation>
    <dataValidation sqref="H70" showDropDown="0" showInputMessage="0" showErrorMessage="0" allowBlank="1" type="list">
      <formula1>'⚙️ Config'!$B$2:$B$6</formula1>
    </dataValidation>
    <dataValidation sqref="J70" showDropDown="0" showInputMessage="0" showErrorMessage="0" allowBlank="1" type="list">
      <formula1>'⚙️ Config'!$A$2:$A$9</formula1>
    </dataValidation>
    <dataValidation sqref="L70" showDropDown="0" showInputMessage="0" showErrorMessage="0" allowBlank="1" type="list">
      <formula1>'⚙️ Config'!$C$2:$C$4</formula1>
    </dataValidation>
    <dataValidation sqref="N70" showDropDown="0" showInputMessage="0" showErrorMessage="0" allowBlank="1" type="list">
      <formula1>'⚙️ Config'!$C$2:$C$4</formula1>
    </dataValidation>
    <dataValidation sqref="O70" showDropDown="0" showInputMessage="0" showErrorMessage="0" allowBlank="1" type="list">
      <formula1>'⚙️ Config'!$G$2:$G$7</formula1>
    </dataValidation>
    <dataValidation sqref="B71" showDropDown="0" showInputMessage="0" showErrorMessage="0" allowBlank="1" type="list">
      <formula1>'🛤️ Learning Paths'!$B$4:$B$103</formula1>
    </dataValidation>
    <dataValidation sqref="H71" showDropDown="0" showInputMessage="0" showErrorMessage="0" allowBlank="1" type="list">
      <formula1>'⚙️ Config'!$B$2:$B$6</formula1>
    </dataValidation>
    <dataValidation sqref="J71" showDropDown="0" showInputMessage="0" showErrorMessage="0" allowBlank="1" type="list">
      <formula1>'⚙️ Config'!$A$2:$A$9</formula1>
    </dataValidation>
    <dataValidation sqref="L71" showDropDown="0" showInputMessage="0" showErrorMessage="0" allowBlank="1" type="list">
      <formula1>'⚙️ Config'!$C$2:$C$4</formula1>
    </dataValidation>
    <dataValidation sqref="N71" showDropDown="0" showInputMessage="0" showErrorMessage="0" allowBlank="1" type="list">
      <formula1>'⚙️ Config'!$C$2:$C$4</formula1>
    </dataValidation>
    <dataValidation sqref="O71" showDropDown="0" showInputMessage="0" showErrorMessage="0" allowBlank="1" type="list">
      <formula1>'⚙️ Config'!$G$2:$G$7</formula1>
    </dataValidation>
    <dataValidation sqref="B72" showDropDown="0" showInputMessage="0" showErrorMessage="0" allowBlank="1" type="list">
      <formula1>'🛤️ Learning Paths'!$B$4:$B$103</formula1>
    </dataValidation>
    <dataValidation sqref="H72" showDropDown="0" showInputMessage="0" showErrorMessage="0" allowBlank="1" type="list">
      <formula1>'⚙️ Config'!$B$2:$B$6</formula1>
    </dataValidation>
    <dataValidation sqref="J72" showDropDown="0" showInputMessage="0" showErrorMessage="0" allowBlank="1" type="list">
      <formula1>'⚙️ Config'!$A$2:$A$9</formula1>
    </dataValidation>
    <dataValidation sqref="L72" showDropDown="0" showInputMessage="0" showErrorMessage="0" allowBlank="1" type="list">
      <formula1>'⚙️ Config'!$C$2:$C$4</formula1>
    </dataValidation>
    <dataValidation sqref="N72" showDropDown="0" showInputMessage="0" showErrorMessage="0" allowBlank="1" type="list">
      <formula1>'⚙️ Config'!$C$2:$C$4</formula1>
    </dataValidation>
    <dataValidation sqref="O72" showDropDown="0" showInputMessage="0" showErrorMessage="0" allowBlank="1" type="list">
      <formula1>'⚙️ Config'!$G$2:$G$7</formula1>
    </dataValidation>
    <dataValidation sqref="B73" showDropDown="0" showInputMessage="0" showErrorMessage="0" allowBlank="1" type="list">
      <formula1>'🛤️ Learning Paths'!$B$4:$B$103</formula1>
    </dataValidation>
    <dataValidation sqref="H73" showDropDown="0" showInputMessage="0" showErrorMessage="0" allowBlank="1" type="list">
      <formula1>'⚙️ Config'!$B$2:$B$6</formula1>
    </dataValidation>
    <dataValidation sqref="J73" showDropDown="0" showInputMessage="0" showErrorMessage="0" allowBlank="1" type="list">
      <formula1>'⚙️ Config'!$A$2:$A$9</formula1>
    </dataValidation>
    <dataValidation sqref="L73" showDropDown="0" showInputMessage="0" showErrorMessage="0" allowBlank="1" type="list">
      <formula1>'⚙️ Config'!$C$2:$C$4</formula1>
    </dataValidation>
    <dataValidation sqref="N73" showDropDown="0" showInputMessage="0" showErrorMessage="0" allowBlank="1" type="list">
      <formula1>'⚙️ Config'!$C$2:$C$4</formula1>
    </dataValidation>
    <dataValidation sqref="O73" showDropDown="0" showInputMessage="0" showErrorMessage="0" allowBlank="1" type="list">
      <formula1>'⚙️ Config'!$G$2:$G$7</formula1>
    </dataValidation>
    <dataValidation sqref="B74" showDropDown="0" showInputMessage="0" showErrorMessage="0" allowBlank="1" type="list">
      <formula1>'🛤️ Learning Paths'!$B$4:$B$103</formula1>
    </dataValidation>
    <dataValidation sqref="H74" showDropDown="0" showInputMessage="0" showErrorMessage="0" allowBlank="1" type="list">
      <formula1>'⚙️ Config'!$B$2:$B$6</formula1>
    </dataValidation>
    <dataValidation sqref="J74" showDropDown="0" showInputMessage="0" showErrorMessage="0" allowBlank="1" type="list">
      <formula1>'⚙️ Config'!$A$2:$A$9</formula1>
    </dataValidation>
    <dataValidation sqref="L74" showDropDown="0" showInputMessage="0" showErrorMessage="0" allowBlank="1" type="list">
      <formula1>'⚙️ Config'!$C$2:$C$4</formula1>
    </dataValidation>
    <dataValidation sqref="N74" showDropDown="0" showInputMessage="0" showErrorMessage="0" allowBlank="1" type="list">
      <formula1>'⚙️ Config'!$C$2:$C$4</formula1>
    </dataValidation>
    <dataValidation sqref="O74" showDropDown="0" showInputMessage="0" showErrorMessage="0" allowBlank="1" type="list">
      <formula1>'⚙️ Config'!$G$2:$G$7</formula1>
    </dataValidation>
    <dataValidation sqref="B75" showDropDown="0" showInputMessage="0" showErrorMessage="0" allowBlank="1" type="list">
      <formula1>'🛤️ Learning Paths'!$B$4:$B$103</formula1>
    </dataValidation>
    <dataValidation sqref="H75" showDropDown="0" showInputMessage="0" showErrorMessage="0" allowBlank="1" type="list">
      <formula1>'⚙️ Config'!$B$2:$B$6</formula1>
    </dataValidation>
    <dataValidation sqref="J75" showDropDown="0" showInputMessage="0" showErrorMessage="0" allowBlank="1" type="list">
      <formula1>'⚙️ Config'!$A$2:$A$9</formula1>
    </dataValidation>
    <dataValidation sqref="L75" showDropDown="0" showInputMessage="0" showErrorMessage="0" allowBlank="1" type="list">
      <formula1>'⚙️ Config'!$C$2:$C$4</formula1>
    </dataValidation>
    <dataValidation sqref="N75" showDropDown="0" showInputMessage="0" showErrorMessage="0" allowBlank="1" type="list">
      <formula1>'⚙️ Config'!$C$2:$C$4</formula1>
    </dataValidation>
    <dataValidation sqref="O75" showDropDown="0" showInputMessage="0" showErrorMessage="0" allowBlank="1" type="list">
      <formula1>'⚙️ Config'!$G$2:$G$7</formula1>
    </dataValidation>
    <dataValidation sqref="B76" showDropDown="0" showInputMessage="0" showErrorMessage="0" allowBlank="1" type="list">
      <formula1>'🛤️ Learning Paths'!$B$4:$B$103</formula1>
    </dataValidation>
    <dataValidation sqref="H76" showDropDown="0" showInputMessage="0" showErrorMessage="0" allowBlank="1" type="list">
      <formula1>'⚙️ Config'!$B$2:$B$6</formula1>
    </dataValidation>
    <dataValidation sqref="J76" showDropDown="0" showInputMessage="0" showErrorMessage="0" allowBlank="1" type="list">
      <formula1>'⚙️ Config'!$A$2:$A$9</formula1>
    </dataValidation>
    <dataValidation sqref="L76" showDropDown="0" showInputMessage="0" showErrorMessage="0" allowBlank="1" type="list">
      <formula1>'⚙️ Config'!$C$2:$C$4</formula1>
    </dataValidation>
    <dataValidation sqref="N76" showDropDown="0" showInputMessage="0" showErrorMessage="0" allowBlank="1" type="list">
      <formula1>'⚙️ Config'!$C$2:$C$4</formula1>
    </dataValidation>
    <dataValidation sqref="O76" showDropDown="0" showInputMessage="0" showErrorMessage="0" allowBlank="1" type="list">
      <formula1>'⚙️ Config'!$G$2:$G$7</formula1>
    </dataValidation>
    <dataValidation sqref="B77" showDropDown="0" showInputMessage="0" showErrorMessage="0" allowBlank="1" type="list">
      <formula1>'🛤️ Learning Paths'!$B$4:$B$103</formula1>
    </dataValidation>
    <dataValidation sqref="H77" showDropDown="0" showInputMessage="0" showErrorMessage="0" allowBlank="1" type="list">
      <formula1>'⚙️ Config'!$B$2:$B$6</formula1>
    </dataValidation>
    <dataValidation sqref="J77" showDropDown="0" showInputMessage="0" showErrorMessage="0" allowBlank="1" type="list">
      <formula1>'⚙️ Config'!$A$2:$A$9</formula1>
    </dataValidation>
    <dataValidation sqref="L77" showDropDown="0" showInputMessage="0" showErrorMessage="0" allowBlank="1" type="list">
      <formula1>'⚙️ Config'!$C$2:$C$4</formula1>
    </dataValidation>
    <dataValidation sqref="N77" showDropDown="0" showInputMessage="0" showErrorMessage="0" allowBlank="1" type="list">
      <formula1>'⚙️ Config'!$C$2:$C$4</formula1>
    </dataValidation>
    <dataValidation sqref="O77" showDropDown="0" showInputMessage="0" showErrorMessage="0" allowBlank="1" type="list">
      <formula1>'⚙️ Config'!$G$2:$G$7</formula1>
    </dataValidation>
    <dataValidation sqref="B78" showDropDown="0" showInputMessage="0" showErrorMessage="0" allowBlank="1" type="list">
      <formula1>'🛤️ Learning Paths'!$B$4:$B$103</formula1>
    </dataValidation>
    <dataValidation sqref="H78" showDropDown="0" showInputMessage="0" showErrorMessage="0" allowBlank="1" type="list">
      <formula1>'⚙️ Config'!$B$2:$B$6</formula1>
    </dataValidation>
    <dataValidation sqref="J78" showDropDown="0" showInputMessage="0" showErrorMessage="0" allowBlank="1" type="list">
      <formula1>'⚙️ Config'!$A$2:$A$9</formula1>
    </dataValidation>
    <dataValidation sqref="L78" showDropDown="0" showInputMessage="0" showErrorMessage="0" allowBlank="1" type="list">
      <formula1>'⚙️ Config'!$C$2:$C$4</formula1>
    </dataValidation>
    <dataValidation sqref="N78" showDropDown="0" showInputMessage="0" showErrorMessage="0" allowBlank="1" type="list">
      <formula1>'⚙️ Config'!$C$2:$C$4</formula1>
    </dataValidation>
    <dataValidation sqref="O78" showDropDown="0" showInputMessage="0" showErrorMessage="0" allowBlank="1" type="list">
      <formula1>'⚙️ Config'!$G$2:$G$7</formula1>
    </dataValidation>
    <dataValidation sqref="B79" showDropDown="0" showInputMessage="0" showErrorMessage="0" allowBlank="1" type="list">
      <formula1>'🛤️ Learning Paths'!$B$4:$B$103</formula1>
    </dataValidation>
    <dataValidation sqref="H79" showDropDown="0" showInputMessage="0" showErrorMessage="0" allowBlank="1" type="list">
      <formula1>'⚙️ Config'!$B$2:$B$6</formula1>
    </dataValidation>
    <dataValidation sqref="J79" showDropDown="0" showInputMessage="0" showErrorMessage="0" allowBlank="1" type="list">
      <formula1>'⚙️ Config'!$A$2:$A$9</formula1>
    </dataValidation>
    <dataValidation sqref="L79" showDropDown="0" showInputMessage="0" showErrorMessage="0" allowBlank="1" type="list">
      <formula1>'⚙️ Config'!$C$2:$C$4</formula1>
    </dataValidation>
    <dataValidation sqref="N79" showDropDown="0" showInputMessage="0" showErrorMessage="0" allowBlank="1" type="list">
      <formula1>'⚙️ Config'!$C$2:$C$4</formula1>
    </dataValidation>
    <dataValidation sqref="O79" showDropDown="0" showInputMessage="0" showErrorMessage="0" allowBlank="1" type="list">
      <formula1>'⚙️ Config'!$G$2:$G$7</formula1>
    </dataValidation>
    <dataValidation sqref="B80" showDropDown="0" showInputMessage="0" showErrorMessage="0" allowBlank="1" type="list">
      <formula1>'🛤️ Learning Paths'!$B$4:$B$103</formula1>
    </dataValidation>
    <dataValidation sqref="H80" showDropDown="0" showInputMessage="0" showErrorMessage="0" allowBlank="1" type="list">
      <formula1>'⚙️ Config'!$B$2:$B$6</formula1>
    </dataValidation>
    <dataValidation sqref="J80" showDropDown="0" showInputMessage="0" showErrorMessage="0" allowBlank="1" type="list">
      <formula1>'⚙️ Config'!$A$2:$A$9</formula1>
    </dataValidation>
    <dataValidation sqref="L80" showDropDown="0" showInputMessage="0" showErrorMessage="0" allowBlank="1" type="list">
      <formula1>'⚙️ Config'!$C$2:$C$4</formula1>
    </dataValidation>
    <dataValidation sqref="N80" showDropDown="0" showInputMessage="0" showErrorMessage="0" allowBlank="1" type="list">
      <formula1>'⚙️ Config'!$C$2:$C$4</formula1>
    </dataValidation>
    <dataValidation sqref="O80" showDropDown="0" showInputMessage="0" showErrorMessage="0" allowBlank="1" type="list">
      <formula1>'⚙️ Config'!$G$2:$G$7</formula1>
    </dataValidation>
    <dataValidation sqref="B81" showDropDown="0" showInputMessage="0" showErrorMessage="0" allowBlank="1" type="list">
      <formula1>'🛤️ Learning Paths'!$B$4:$B$103</formula1>
    </dataValidation>
    <dataValidation sqref="H81" showDropDown="0" showInputMessage="0" showErrorMessage="0" allowBlank="1" type="list">
      <formula1>'⚙️ Config'!$B$2:$B$6</formula1>
    </dataValidation>
    <dataValidation sqref="J81" showDropDown="0" showInputMessage="0" showErrorMessage="0" allowBlank="1" type="list">
      <formula1>'⚙️ Config'!$A$2:$A$9</formula1>
    </dataValidation>
    <dataValidation sqref="L81" showDropDown="0" showInputMessage="0" showErrorMessage="0" allowBlank="1" type="list">
      <formula1>'⚙️ Config'!$C$2:$C$4</formula1>
    </dataValidation>
    <dataValidation sqref="N81" showDropDown="0" showInputMessage="0" showErrorMessage="0" allowBlank="1" type="list">
      <formula1>'⚙️ Config'!$C$2:$C$4</formula1>
    </dataValidation>
    <dataValidation sqref="O81" showDropDown="0" showInputMessage="0" showErrorMessage="0" allowBlank="1" type="list">
      <formula1>'⚙️ Config'!$G$2:$G$7</formula1>
    </dataValidation>
    <dataValidation sqref="B82" showDropDown="0" showInputMessage="0" showErrorMessage="0" allowBlank="1" type="list">
      <formula1>'🛤️ Learning Paths'!$B$4:$B$103</formula1>
    </dataValidation>
    <dataValidation sqref="H82" showDropDown="0" showInputMessage="0" showErrorMessage="0" allowBlank="1" type="list">
      <formula1>'⚙️ Config'!$B$2:$B$6</formula1>
    </dataValidation>
    <dataValidation sqref="J82" showDropDown="0" showInputMessage="0" showErrorMessage="0" allowBlank="1" type="list">
      <formula1>'⚙️ Config'!$A$2:$A$9</formula1>
    </dataValidation>
    <dataValidation sqref="L82" showDropDown="0" showInputMessage="0" showErrorMessage="0" allowBlank="1" type="list">
      <formula1>'⚙️ Config'!$C$2:$C$4</formula1>
    </dataValidation>
    <dataValidation sqref="N82" showDropDown="0" showInputMessage="0" showErrorMessage="0" allowBlank="1" type="list">
      <formula1>'⚙️ Config'!$C$2:$C$4</formula1>
    </dataValidation>
    <dataValidation sqref="O82" showDropDown="0" showInputMessage="0" showErrorMessage="0" allowBlank="1" type="list">
      <formula1>'⚙️ Config'!$G$2:$G$7</formula1>
    </dataValidation>
    <dataValidation sqref="B83" showDropDown="0" showInputMessage="0" showErrorMessage="0" allowBlank="1" type="list">
      <formula1>'🛤️ Learning Paths'!$B$4:$B$103</formula1>
    </dataValidation>
    <dataValidation sqref="H83" showDropDown="0" showInputMessage="0" showErrorMessage="0" allowBlank="1" type="list">
      <formula1>'⚙️ Config'!$B$2:$B$6</formula1>
    </dataValidation>
    <dataValidation sqref="J83" showDropDown="0" showInputMessage="0" showErrorMessage="0" allowBlank="1" type="list">
      <formula1>'⚙️ Config'!$A$2:$A$9</formula1>
    </dataValidation>
    <dataValidation sqref="L83" showDropDown="0" showInputMessage="0" showErrorMessage="0" allowBlank="1" type="list">
      <formula1>'⚙️ Config'!$C$2:$C$4</formula1>
    </dataValidation>
    <dataValidation sqref="N83" showDropDown="0" showInputMessage="0" showErrorMessage="0" allowBlank="1" type="list">
      <formula1>'⚙️ Config'!$C$2:$C$4</formula1>
    </dataValidation>
    <dataValidation sqref="O83" showDropDown="0" showInputMessage="0" showErrorMessage="0" allowBlank="1" type="list">
      <formula1>'⚙️ Config'!$G$2:$G$7</formula1>
    </dataValidation>
    <dataValidation sqref="B84" showDropDown="0" showInputMessage="0" showErrorMessage="0" allowBlank="1" type="list">
      <formula1>'🛤️ Learning Paths'!$B$4:$B$103</formula1>
    </dataValidation>
    <dataValidation sqref="H84" showDropDown="0" showInputMessage="0" showErrorMessage="0" allowBlank="1" type="list">
      <formula1>'⚙️ Config'!$B$2:$B$6</formula1>
    </dataValidation>
    <dataValidation sqref="J84" showDropDown="0" showInputMessage="0" showErrorMessage="0" allowBlank="1" type="list">
      <formula1>'⚙️ Config'!$A$2:$A$9</formula1>
    </dataValidation>
    <dataValidation sqref="L84" showDropDown="0" showInputMessage="0" showErrorMessage="0" allowBlank="1" type="list">
      <formula1>'⚙️ Config'!$C$2:$C$4</formula1>
    </dataValidation>
    <dataValidation sqref="N84" showDropDown="0" showInputMessage="0" showErrorMessage="0" allowBlank="1" type="list">
      <formula1>'⚙️ Config'!$C$2:$C$4</formula1>
    </dataValidation>
    <dataValidation sqref="O84" showDropDown="0" showInputMessage="0" showErrorMessage="0" allowBlank="1" type="list">
      <formula1>'⚙️ Config'!$G$2:$G$7</formula1>
    </dataValidation>
    <dataValidation sqref="B85" showDropDown="0" showInputMessage="0" showErrorMessage="0" allowBlank="1" type="list">
      <formula1>'🛤️ Learning Paths'!$B$4:$B$103</formula1>
    </dataValidation>
    <dataValidation sqref="H85" showDropDown="0" showInputMessage="0" showErrorMessage="0" allowBlank="1" type="list">
      <formula1>'⚙️ Config'!$B$2:$B$6</formula1>
    </dataValidation>
    <dataValidation sqref="J85" showDropDown="0" showInputMessage="0" showErrorMessage="0" allowBlank="1" type="list">
      <formula1>'⚙️ Config'!$A$2:$A$9</formula1>
    </dataValidation>
    <dataValidation sqref="L85" showDropDown="0" showInputMessage="0" showErrorMessage="0" allowBlank="1" type="list">
      <formula1>'⚙️ Config'!$C$2:$C$4</formula1>
    </dataValidation>
    <dataValidation sqref="N85" showDropDown="0" showInputMessage="0" showErrorMessage="0" allowBlank="1" type="list">
      <formula1>'⚙️ Config'!$C$2:$C$4</formula1>
    </dataValidation>
    <dataValidation sqref="O85" showDropDown="0" showInputMessage="0" showErrorMessage="0" allowBlank="1" type="list">
      <formula1>'⚙️ Config'!$G$2:$G$7</formula1>
    </dataValidation>
    <dataValidation sqref="B86" showDropDown="0" showInputMessage="0" showErrorMessage="0" allowBlank="1" type="list">
      <formula1>'🛤️ Learning Paths'!$B$4:$B$103</formula1>
    </dataValidation>
    <dataValidation sqref="H86" showDropDown="0" showInputMessage="0" showErrorMessage="0" allowBlank="1" type="list">
      <formula1>'⚙️ Config'!$B$2:$B$6</formula1>
    </dataValidation>
    <dataValidation sqref="J86" showDropDown="0" showInputMessage="0" showErrorMessage="0" allowBlank="1" type="list">
      <formula1>'⚙️ Config'!$A$2:$A$9</formula1>
    </dataValidation>
    <dataValidation sqref="L86" showDropDown="0" showInputMessage="0" showErrorMessage="0" allowBlank="1" type="list">
      <formula1>'⚙️ Config'!$C$2:$C$4</formula1>
    </dataValidation>
    <dataValidation sqref="N86" showDropDown="0" showInputMessage="0" showErrorMessage="0" allowBlank="1" type="list">
      <formula1>'⚙️ Config'!$C$2:$C$4</formula1>
    </dataValidation>
    <dataValidation sqref="O86" showDropDown="0" showInputMessage="0" showErrorMessage="0" allowBlank="1" type="list">
      <formula1>'⚙️ Config'!$G$2:$G$7</formula1>
    </dataValidation>
    <dataValidation sqref="B87" showDropDown="0" showInputMessage="0" showErrorMessage="0" allowBlank="1" type="list">
      <formula1>'🛤️ Learning Paths'!$B$4:$B$103</formula1>
    </dataValidation>
    <dataValidation sqref="H87" showDropDown="0" showInputMessage="0" showErrorMessage="0" allowBlank="1" type="list">
      <formula1>'⚙️ Config'!$B$2:$B$6</formula1>
    </dataValidation>
    <dataValidation sqref="J87" showDropDown="0" showInputMessage="0" showErrorMessage="0" allowBlank="1" type="list">
      <formula1>'⚙️ Config'!$A$2:$A$9</formula1>
    </dataValidation>
    <dataValidation sqref="L87" showDropDown="0" showInputMessage="0" showErrorMessage="0" allowBlank="1" type="list">
      <formula1>'⚙️ Config'!$C$2:$C$4</formula1>
    </dataValidation>
    <dataValidation sqref="N87" showDropDown="0" showInputMessage="0" showErrorMessage="0" allowBlank="1" type="list">
      <formula1>'⚙️ Config'!$C$2:$C$4</formula1>
    </dataValidation>
    <dataValidation sqref="O87" showDropDown="0" showInputMessage="0" showErrorMessage="0" allowBlank="1" type="list">
      <formula1>'⚙️ Config'!$G$2:$G$7</formula1>
    </dataValidation>
    <dataValidation sqref="B88" showDropDown="0" showInputMessage="0" showErrorMessage="0" allowBlank="1" type="list">
      <formula1>'🛤️ Learning Paths'!$B$4:$B$103</formula1>
    </dataValidation>
    <dataValidation sqref="H88" showDropDown="0" showInputMessage="0" showErrorMessage="0" allowBlank="1" type="list">
      <formula1>'⚙️ Config'!$B$2:$B$6</formula1>
    </dataValidation>
    <dataValidation sqref="J88" showDropDown="0" showInputMessage="0" showErrorMessage="0" allowBlank="1" type="list">
      <formula1>'⚙️ Config'!$A$2:$A$9</formula1>
    </dataValidation>
    <dataValidation sqref="L88" showDropDown="0" showInputMessage="0" showErrorMessage="0" allowBlank="1" type="list">
      <formula1>'⚙️ Config'!$C$2:$C$4</formula1>
    </dataValidation>
    <dataValidation sqref="N88" showDropDown="0" showInputMessage="0" showErrorMessage="0" allowBlank="1" type="list">
      <formula1>'⚙️ Config'!$C$2:$C$4</formula1>
    </dataValidation>
    <dataValidation sqref="O88" showDropDown="0" showInputMessage="0" showErrorMessage="0" allowBlank="1" type="list">
      <formula1>'⚙️ Config'!$G$2:$G$7</formula1>
    </dataValidation>
    <dataValidation sqref="B89" showDropDown="0" showInputMessage="0" showErrorMessage="0" allowBlank="1" type="list">
      <formula1>'🛤️ Learning Paths'!$B$4:$B$103</formula1>
    </dataValidation>
    <dataValidation sqref="H89" showDropDown="0" showInputMessage="0" showErrorMessage="0" allowBlank="1" type="list">
      <formula1>'⚙️ Config'!$B$2:$B$6</formula1>
    </dataValidation>
    <dataValidation sqref="J89" showDropDown="0" showInputMessage="0" showErrorMessage="0" allowBlank="1" type="list">
      <formula1>'⚙️ Config'!$A$2:$A$9</formula1>
    </dataValidation>
    <dataValidation sqref="L89" showDropDown="0" showInputMessage="0" showErrorMessage="0" allowBlank="1" type="list">
      <formula1>'⚙️ Config'!$C$2:$C$4</formula1>
    </dataValidation>
    <dataValidation sqref="N89" showDropDown="0" showInputMessage="0" showErrorMessage="0" allowBlank="1" type="list">
      <formula1>'⚙️ Config'!$C$2:$C$4</formula1>
    </dataValidation>
    <dataValidation sqref="O89" showDropDown="0" showInputMessage="0" showErrorMessage="0" allowBlank="1" type="list">
      <formula1>'⚙️ Config'!$G$2:$G$7</formula1>
    </dataValidation>
    <dataValidation sqref="B90" showDropDown="0" showInputMessage="0" showErrorMessage="0" allowBlank="1" type="list">
      <formula1>'🛤️ Learning Paths'!$B$4:$B$103</formula1>
    </dataValidation>
    <dataValidation sqref="H90" showDropDown="0" showInputMessage="0" showErrorMessage="0" allowBlank="1" type="list">
      <formula1>'⚙️ Config'!$B$2:$B$6</formula1>
    </dataValidation>
    <dataValidation sqref="J90" showDropDown="0" showInputMessage="0" showErrorMessage="0" allowBlank="1" type="list">
      <formula1>'⚙️ Config'!$A$2:$A$9</formula1>
    </dataValidation>
    <dataValidation sqref="L90" showDropDown="0" showInputMessage="0" showErrorMessage="0" allowBlank="1" type="list">
      <formula1>'⚙️ Config'!$C$2:$C$4</formula1>
    </dataValidation>
    <dataValidation sqref="N90" showDropDown="0" showInputMessage="0" showErrorMessage="0" allowBlank="1" type="list">
      <formula1>'⚙️ Config'!$C$2:$C$4</formula1>
    </dataValidation>
    <dataValidation sqref="O90" showDropDown="0" showInputMessage="0" showErrorMessage="0" allowBlank="1" type="list">
      <formula1>'⚙️ Config'!$G$2:$G$7</formula1>
    </dataValidation>
    <dataValidation sqref="B91" showDropDown="0" showInputMessage="0" showErrorMessage="0" allowBlank="1" type="list">
      <formula1>'🛤️ Learning Paths'!$B$4:$B$103</formula1>
    </dataValidation>
    <dataValidation sqref="H91" showDropDown="0" showInputMessage="0" showErrorMessage="0" allowBlank="1" type="list">
      <formula1>'⚙️ Config'!$B$2:$B$6</formula1>
    </dataValidation>
    <dataValidation sqref="J91" showDropDown="0" showInputMessage="0" showErrorMessage="0" allowBlank="1" type="list">
      <formula1>'⚙️ Config'!$A$2:$A$9</formula1>
    </dataValidation>
    <dataValidation sqref="L91" showDropDown="0" showInputMessage="0" showErrorMessage="0" allowBlank="1" type="list">
      <formula1>'⚙️ Config'!$C$2:$C$4</formula1>
    </dataValidation>
    <dataValidation sqref="N91" showDropDown="0" showInputMessage="0" showErrorMessage="0" allowBlank="1" type="list">
      <formula1>'⚙️ Config'!$C$2:$C$4</formula1>
    </dataValidation>
    <dataValidation sqref="O91" showDropDown="0" showInputMessage="0" showErrorMessage="0" allowBlank="1" type="list">
      <formula1>'⚙️ Config'!$G$2:$G$7</formula1>
    </dataValidation>
    <dataValidation sqref="B92" showDropDown="0" showInputMessage="0" showErrorMessage="0" allowBlank="1" type="list">
      <formula1>'🛤️ Learning Paths'!$B$4:$B$103</formula1>
    </dataValidation>
    <dataValidation sqref="H92" showDropDown="0" showInputMessage="0" showErrorMessage="0" allowBlank="1" type="list">
      <formula1>'⚙️ Config'!$B$2:$B$6</formula1>
    </dataValidation>
    <dataValidation sqref="J92" showDropDown="0" showInputMessage="0" showErrorMessage="0" allowBlank="1" type="list">
      <formula1>'⚙️ Config'!$A$2:$A$9</formula1>
    </dataValidation>
    <dataValidation sqref="L92" showDropDown="0" showInputMessage="0" showErrorMessage="0" allowBlank="1" type="list">
      <formula1>'⚙️ Config'!$C$2:$C$4</formula1>
    </dataValidation>
    <dataValidation sqref="N92" showDropDown="0" showInputMessage="0" showErrorMessage="0" allowBlank="1" type="list">
      <formula1>'⚙️ Config'!$C$2:$C$4</formula1>
    </dataValidation>
    <dataValidation sqref="O92" showDropDown="0" showInputMessage="0" showErrorMessage="0" allowBlank="1" type="list">
      <formula1>'⚙️ Config'!$G$2:$G$7</formula1>
    </dataValidation>
    <dataValidation sqref="B93" showDropDown="0" showInputMessage="0" showErrorMessage="0" allowBlank="1" type="list">
      <formula1>'🛤️ Learning Paths'!$B$4:$B$103</formula1>
    </dataValidation>
    <dataValidation sqref="H93" showDropDown="0" showInputMessage="0" showErrorMessage="0" allowBlank="1" type="list">
      <formula1>'⚙️ Config'!$B$2:$B$6</formula1>
    </dataValidation>
    <dataValidation sqref="J93" showDropDown="0" showInputMessage="0" showErrorMessage="0" allowBlank="1" type="list">
      <formula1>'⚙️ Config'!$A$2:$A$9</formula1>
    </dataValidation>
    <dataValidation sqref="L93" showDropDown="0" showInputMessage="0" showErrorMessage="0" allowBlank="1" type="list">
      <formula1>'⚙️ Config'!$C$2:$C$4</formula1>
    </dataValidation>
    <dataValidation sqref="N93" showDropDown="0" showInputMessage="0" showErrorMessage="0" allowBlank="1" type="list">
      <formula1>'⚙️ Config'!$C$2:$C$4</formula1>
    </dataValidation>
    <dataValidation sqref="O93" showDropDown="0" showInputMessage="0" showErrorMessage="0" allowBlank="1" type="list">
      <formula1>'⚙️ Config'!$G$2:$G$7</formula1>
    </dataValidation>
    <dataValidation sqref="B94" showDropDown="0" showInputMessage="0" showErrorMessage="0" allowBlank="1" type="list">
      <formula1>'🛤️ Learning Paths'!$B$4:$B$103</formula1>
    </dataValidation>
    <dataValidation sqref="H94" showDropDown="0" showInputMessage="0" showErrorMessage="0" allowBlank="1" type="list">
      <formula1>'⚙️ Config'!$B$2:$B$6</formula1>
    </dataValidation>
    <dataValidation sqref="J94" showDropDown="0" showInputMessage="0" showErrorMessage="0" allowBlank="1" type="list">
      <formula1>'⚙️ Config'!$A$2:$A$9</formula1>
    </dataValidation>
    <dataValidation sqref="L94" showDropDown="0" showInputMessage="0" showErrorMessage="0" allowBlank="1" type="list">
      <formula1>'⚙️ Config'!$C$2:$C$4</formula1>
    </dataValidation>
    <dataValidation sqref="N94" showDropDown="0" showInputMessage="0" showErrorMessage="0" allowBlank="1" type="list">
      <formula1>'⚙️ Config'!$C$2:$C$4</formula1>
    </dataValidation>
    <dataValidation sqref="O94" showDropDown="0" showInputMessage="0" showErrorMessage="0" allowBlank="1" type="list">
      <formula1>'⚙️ Config'!$G$2:$G$7</formula1>
    </dataValidation>
    <dataValidation sqref="B95" showDropDown="0" showInputMessage="0" showErrorMessage="0" allowBlank="1" type="list">
      <formula1>'🛤️ Learning Paths'!$B$4:$B$103</formula1>
    </dataValidation>
    <dataValidation sqref="H95" showDropDown="0" showInputMessage="0" showErrorMessage="0" allowBlank="1" type="list">
      <formula1>'⚙️ Config'!$B$2:$B$6</formula1>
    </dataValidation>
    <dataValidation sqref="J95" showDropDown="0" showInputMessage="0" showErrorMessage="0" allowBlank="1" type="list">
      <formula1>'⚙️ Config'!$A$2:$A$9</formula1>
    </dataValidation>
    <dataValidation sqref="L95" showDropDown="0" showInputMessage="0" showErrorMessage="0" allowBlank="1" type="list">
      <formula1>'⚙️ Config'!$C$2:$C$4</formula1>
    </dataValidation>
    <dataValidation sqref="N95" showDropDown="0" showInputMessage="0" showErrorMessage="0" allowBlank="1" type="list">
      <formula1>'⚙️ Config'!$C$2:$C$4</formula1>
    </dataValidation>
    <dataValidation sqref="O95" showDropDown="0" showInputMessage="0" showErrorMessage="0" allowBlank="1" type="list">
      <formula1>'⚙️ Config'!$G$2:$G$7</formula1>
    </dataValidation>
    <dataValidation sqref="B96" showDropDown="0" showInputMessage="0" showErrorMessage="0" allowBlank="1" type="list">
      <formula1>'🛤️ Learning Paths'!$B$4:$B$103</formula1>
    </dataValidation>
    <dataValidation sqref="H96" showDropDown="0" showInputMessage="0" showErrorMessage="0" allowBlank="1" type="list">
      <formula1>'⚙️ Config'!$B$2:$B$6</formula1>
    </dataValidation>
    <dataValidation sqref="J96" showDropDown="0" showInputMessage="0" showErrorMessage="0" allowBlank="1" type="list">
      <formula1>'⚙️ Config'!$A$2:$A$9</formula1>
    </dataValidation>
    <dataValidation sqref="L96" showDropDown="0" showInputMessage="0" showErrorMessage="0" allowBlank="1" type="list">
      <formula1>'⚙️ Config'!$C$2:$C$4</formula1>
    </dataValidation>
    <dataValidation sqref="N96" showDropDown="0" showInputMessage="0" showErrorMessage="0" allowBlank="1" type="list">
      <formula1>'⚙️ Config'!$C$2:$C$4</formula1>
    </dataValidation>
    <dataValidation sqref="O96" showDropDown="0" showInputMessage="0" showErrorMessage="0" allowBlank="1" type="list">
      <formula1>'⚙️ Config'!$G$2:$G$7</formula1>
    </dataValidation>
    <dataValidation sqref="B97" showDropDown="0" showInputMessage="0" showErrorMessage="0" allowBlank="1" type="list">
      <formula1>'🛤️ Learning Paths'!$B$4:$B$103</formula1>
    </dataValidation>
    <dataValidation sqref="H97" showDropDown="0" showInputMessage="0" showErrorMessage="0" allowBlank="1" type="list">
      <formula1>'⚙️ Config'!$B$2:$B$6</formula1>
    </dataValidation>
    <dataValidation sqref="J97" showDropDown="0" showInputMessage="0" showErrorMessage="0" allowBlank="1" type="list">
      <formula1>'⚙️ Config'!$A$2:$A$9</formula1>
    </dataValidation>
    <dataValidation sqref="L97" showDropDown="0" showInputMessage="0" showErrorMessage="0" allowBlank="1" type="list">
      <formula1>'⚙️ Config'!$C$2:$C$4</formula1>
    </dataValidation>
    <dataValidation sqref="N97" showDropDown="0" showInputMessage="0" showErrorMessage="0" allowBlank="1" type="list">
      <formula1>'⚙️ Config'!$C$2:$C$4</formula1>
    </dataValidation>
    <dataValidation sqref="O97" showDropDown="0" showInputMessage="0" showErrorMessage="0" allowBlank="1" type="list">
      <formula1>'⚙️ Config'!$G$2:$G$7</formula1>
    </dataValidation>
    <dataValidation sqref="B98" showDropDown="0" showInputMessage="0" showErrorMessage="0" allowBlank="1" type="list">
      <formula1>'🛤️ Learning Paths'!$B$4:$B$103</formula1>
    </dataValidation>
    <dataValidation sqref="H98" showDropDown="0" showInputMessage="0" showErrorMessage="0" allowBlank="1" type="list">
      <formula1>'⚙️ Config'!$B$2:$B$6</formula1>
    </dataValidation>
    <dataValidation sqref="J98" showDropDown="0" showInputMessage="0" showErrorMessage="0" allowBlank="1" type="list">
      <formula1>'⚙️ Config'!$A$2:$A$9</formula1>
    </dataValidation>
    <dataValidation sqref="L98" showDropDown="0" showInputMessage="0" showErrorMessage="0" allowBlank="1" type="list">
      <formula1>'⚙️ Config'!$C$2:$C$4</formula1>
    </dataValidation>
    <dataValidation sqref="N98" showDropDown="0" showInputMessage="0" showErrorMessage="0" allowBlank="1" type="list">
      <formula1>'⚙️ Config'!$C$2:$C$4</formula1>
    </dataValidation>
    <dataValidation sqref="O98" showDropDown="0" showInputMessage="0" showErrorMessage="0" allowBlank="1" type="list">
      <formula1>'⚙️ Config'!$G$2:$G$7</formula1>
    </dataValidation>
    <dataValidation sqref="B99" showDropDown="0" showInputMessage="0" showErrorMessage="0" allowBlank="1" type="list">
      <formula1>'🛤️ Learning Paths'!$B$4:$B$103</formula1>
    </dataValidation>
    <dataValidation sqref="H99" showDropDown="0" showInputMessage="0" showErrorMessage="0" allowBlank="1" type="list">
      <formula1>'⚙️ Config'!$B$2:$B$6</formula1>
    </dataValidation>
    <dataValidation sqref="J99" showDropDown="0" showInputMessage="0" showErrorMessage="0" allowBlank="1" type="list">
      <formula1>'⚙️ Config'!$A$2:$A$9</formula1>
    </dataValidation>
    <dataValidation sqref="L99" showDropDown="0" showInputMessage="0" showErrorMessage="0" allowBlank="1" type="list">
      <formula1>'⚙️ Config'!$C$2:$C$4</formula1>
    </dataValidation>
    <dataValidation sqref="N99" showDropDown="0" showInputMessage="0" showErrorMessage="0" allowBlank="1" type="list">
      <formula1>'⚙️ Config'!$C$2:$C$4</formula1>
    </dataValidation>
    <dataValidation sqref="O99" showDropDown="0" showInputMessage="0" showErrorMessage="0" allowBlank="1" type="list">
      <formula1>'⚙️ Config'!$G$2:$G$7</formula1>
    </dataValidation>
    <dataValidation sqref="B100" showDropDown="0" showInputMessage="0" showErrorMessage="0" allowBlank="1" type="list">
      <formula1>'🛤️ Learning Paths'!$B$4:$B$103</formula1>
    </dataValidation>
    <dataValidation sqref="H100" showDropDown="0" showInputMessage="0" showErrorMessage="0" allowBlank="1" type="list">
      <formula1>'⚙️ Config'!$B$2:$B$6</formula1>
    </dataValidation>
    <dataValidation sqref="J100" showDropDown="0" showInputMessage="0" showErrorMessage="0" allowBlank="1" type="list">
      <formula1>'⚙️ Config'!$A$2:$A$9</formula1>
    </dataValidation>
    <dataValidation sqref="L100" showDropDown="0" showInputMessage="0" showErrorMessage="0" allowBlank="1" type="list">
      <formula1>'⚙️ Config'!$C$2:$C$4</formula1>
    </dataValidation>
    <dataValidation sqref="N100" showDropDown="0" showInputMessage="0" showErrorMessage="0" allowBlank="1" type="list">
      <formula1>'⚙️ Config'!$C$2:$C$4</formula1>
    </dataValidation>
    <dataValidation sqref="O100" showDropDown="0" showInputMessage="0" showErrorMessage="0" allowBlank="1" type="list">
      <formula1>'⚙️ Config'!$G$2:$G$7</formula1>
    </dataValidation>
    <dataValidation sqref="B101" showDropDown="0" showInputMessage="0" showErrorMessage="0" allowBlank="1" type="list">
      <formula1>'🛤️ Learning Paths'!$B$4:$B$103</formula1>
    </dataValidation>
    <dataValidation sqref="H101" showDropDown="0" showInputMessage="0" showErrorMessage="0" allowBlank="1" type="list">
      <formula1>'⚙️ Config'!$B$2:$B$6</formula1>
    </dataValidation>
    <dataValidation sqref="J101" showDropDown="0" showInputMessage="0" showErrorMessage="0" allowBlank="1" type="list">
      <formula1>'⚙️ Config'!$A$2:$A$9</formula1>
    </dataValidation>
    <dataValidation sqref="L101" showDropDown="0" showInputMessage="0" showErrorMessage="0" allowBlank="1" type="list">
      <formula1>'⚙️ Config'!$C$2:$C$4</formula1>
    </dataValidation>
    <dataValidation sqref="N101" showDropDown="0" showInputMessage="0" showErrorMessage="0" allowBlank="1" type="list">
      <formula1>'⚙️ Config'!$C$2:$C$4</formula1>
    </dataValidation>
    <dataValidation sqref="O101" showDropDown="0" showInputMessage="0" showErrorMessage="0" allowBlank="1" type="list">
      <formula1>'⚙️ Config'!$G$2:$G$7</formula1>
    </dataValidation>
    <dataValidation sqref="B102" showDropDown="0" showInputMessage="0" showErrorMessage="0" allowBlank="1" type="list">
      <formula1>'🛤️ Learning Paths'!$B$4:$B$103</formula1>
    </dataValidation>
    <dataValidation sqref="H102" showDropDown="0" showInputMessage="0" showErrorMessage="0" allowBlank="1" type="list">
      <formula1>'⚙️ Config'!$B$2:$B$6</formula1>
    </dataValidation>
    <dataValidation sqref="J102" showDropDown="0" showInputMessage="0" showErrorMessage="0" allowBlank="1" type="list">
      <formula1>'⚙️ Config'!$A$2:$A$9</formula1>
    </dataValidation>
    <dataValidation sqref="L102" showDropDown="0" showInputMessage="0" showErrorMessage="0" allowBlank="1" type="list">
      <formula1>'⚙️ Config'!$C$2:$C$4</formula1>
    </dataValidation>
    <dataValidation sqref="N102" showDropDown="0" showInputMessage="0" showErrorMessage="0" allowBlank="1" type="list">
      <formula1>'⚙️ Config'!$C$2:$C$4</formula1>
    </dataValidation>
    <dataValidation sqref="O102" showDropDown="0" showInputMessage="0" showErrorMessage="0" allowBlank="1" type="list">
      <formula1>'⚙️ Config'!$G$2:$G$7</formula1>
    </dataValidation>
    <dataValidation sqref="B103" showDropDown="0" showInputMessage="0" showErrorMessage="0" allowBlank="1" type="list">
      <formula1>'🛤️ Learning Paths'!$B$4:$B$103</formula1>
    </dataValidation>
    <dataValidation sqref="H103" showDropDown="0" showInputMessage="0" showErrorMessage="0" allowBlank="1" type="list">
      <formula1>'⚙️ Config'!$B$2:$B$6</formula1>
    </dataValidation>
    <dataValidation sqref="J103" showDropDown="0" showInputMessage="0" showErrorMessage="0" allowBlank="1" type="list">
      <formula1>'⚙️ Config'!$A$2:$A$9</formula1>
    </dataValidation>
    <dataValidation sqref="L103" showDropDown="0" showInputMessage="0" showErrorMessage="0" allowBlank="1" type="list">
      <formula1>'⚙️ Config'!$C$2:$C$4</formula1>
    </dataValidation>
    <dataValidation sqref="N103" showDropDown="0" showInputMessage="0" showErrorMessage="0" allowBlank="1" type="list">
      <formula1>'⚙️ Config'!$C$2:$C$4</formula1>
    </dataValidation>
    <dataValidation sqref="O103" showDropDown="0" showInputMessage="0" showErrorMessage="0" allowBlank="1" type="list">
      <formula1>'⚙️ Config'!$G$2:$G$7</formula1>
    </dataValidation>
    <dataValidation sqref="B104" showDropDown="0" showInputMessage="0" showErrorMessage="0" allowBlank="1" type="list">
      <formula1>'🛤️ Learning Paths'!$B$4:$B$103</formula1>
    </dataValidation>
    <dataValidation sqref="H104" showDropDown="0" showInputMessage="0" showErrorMessage="0" allowBlank="1" type="list">
      <formula1>'⚙️ Config'!$B$2:$B$6</formula1>
    </dataValidation>
    <dataValidation sqref="J104" showDropDown="0" showInputMessage="0" showErrorMessage="0" allowBlank="1" type="list">
      <formula1>'⚙️ Config'!$A$2:$A$9</formula1>
    </dataValidation>
    <dataValidation sqref="L104" showDropDown="0" showInputMessage="0" showErrorMessage="0" allowBlank="1" type="list">
      <formula1>'⚙️ Config'!$C$2:$C$4</formula1>
    </dataValidation>
    <dataValidation sqref="N104" showDropDown="0" showInputMessage="0" showErrorMessage="0" allowBlank="1" type="list">
      <formula1>'⚙️ Config'!$C$2:$C$4</formula1>
    </dataValidation>
    <dataValidation sqref="O104" showDropDown="0" showInputMessage="0" showErrorMessage="0" allowBlank="1" type="list">
      <formula1>'⚙️ Config'!$G$2:$G$7</formula1>
    </dataValidation>
    <dataValidation sqref="B105" showDropDown="0" showInputMessage="0" showErrorMessage="0" allowBlank="1" type="list">
      <formula1>'🛤️ Learning Paths'!$B$4:$B$103</formula1>
    </dataValidation>
    <dataValidation sqref="H105" showDropDown="0" showInputMessage="0" showErrorMessage="0" allowBlank="1" type="list">
      <formula1>'⚙️ Config'!$B$2:$B$6</formula1>
    </dataValidation>
    <dataValidation sqref="J105" showDropDown="0" showInputMessage="0" showErrorMessage="0" allowBlank="1" type="list">
      <formula1>'⚙️ Config'!$A$2:$A$9</formula1>
    </dataValidation>
    <dataValidation sqref="L105" showDropDown="0" showInputMessage="0" showErrorMessage="0" allowBlank="1" type="list">
      <formula1>'⚙️ Config'!$C$2:$C$4</formula1>
    </dataValidation>
    <dataValidation sqref="N105" showDropDown="0" showInputMessage="0" showErrorMessage="0" allowBlank="1" type="list">
      <formula1>'⚙️ Config'!$C$2:$C$4</formula1>
    </dataValidation>
    <dataValidation sqref="O105" showDropDown="0" showInputMessage="0" showErrorMessage="0" allowBlank="1" type="list">
      <formula1>'⚙️ Config'!$G$2:$G$7</formula1>
    </dataValidation>
    <dataValidation sqref="B106" showDropDown="0" showInputMessage="0" showErrorMessage="0" allowBlank="1" type="list">
      <formula1>'🛤️ Learning Paths'!$B$4:$B$103</formula1>
    </dataValidation>
    <dataValidation sqref="H106" showDropDown="0" showInputMessage="0" showErrorMessage="0" allowBlank="1" type="list">
      <formula1>'⚙️ Config'!$B$2:$B$6</formula1>
    </dataValidation>
    <dataValidation sqref="J106" showDropDown="0" showInputMessage="0" showErrorMessage="0" allowBlank="1" type="list">
      <formula1>'⚙️ Config'!$A$2:$A$9</formula1>
    </dataValidation>
    <dataValidation sqref="L106" showDropDown="0" showInputMessage="0" showErrorMessage="0" allowBlank="1" type="list">
      <formula1>'⚙️ Config'!$C$2:$C$4</formula1>
    </dataValidation>
    <dataValidation sqref="N106" showDropDown="0" showInputMessage="0" showErrorMessage="0" allowBlank="1" type="list">
      <formula1>'⚙️ Config'!$C$2:$C$4</formula1>
    </dataValidation>
    <dataValidation sqref="O106" showDropDown="0" showInputMessage="0" showErrorMessage="0" allowBlank="1" type="list">
      <formula1>'⚙️ Config'!$G$2:$G$7</formula1>
    </dataValidation>
    <dataValidation sqref="B107" showDropDown="0" showInputMessage="0" showErrorMessage="0" allowBlank="1" type="list">
      <formula1>'🛤️ Learning Paths'!$B$4:$B$103</formula1>
    </dataValidation>
    <dataValidation sqref="H107" showDropDown="0" showInputMessage="0" showErrorMessage="0" allowBlank="1" type="list">
      <formula1>'⚙️ Config'!$B$2:$B$6</formula1>
    </dataValidation>
    <dataValidation sqref="J107" showDropDown="0" showInputMessage="0" showErrorMessage="0" allowBlank="1" type="list">
      <formula1>'⚙️ Config'!$A$2:$A$9</formula1>
    </dataValidation>
    <dataValidation sqref="L107" showDropDown="0" showInputMessage="0" showErrorMessage="0" allowBlank="1" type="list">
      <formula1>'⚙️ Config'!$C$2:$C$4</formula1>
    </dataValidation>
    <dataValidation sqref="N107" showDropDown="0" showInputMessage="0" showErrorMessage="0" allowBlank="1" type="list">
      <formula1>'⚙️ Config'!$C$2:$C$4</formula1>
    </dataValidation>
    <dataValidation sqref="O107" showDropDown="0" showInputMessage="0" showErrorMessage="0" allowBlank="1" type="list">
      <formula1>'⚙️ Config'!$G$2:$G$7</formula1>
    </dataValidation>
    <dataValidation sqref="B108" showDropDown="0" showInputMessage="0" showErrorMessage="0" allowBlank="1" type="list">
      <formula1>'🛤️ Learning Paths'!$B$4:$B$103</formula1>
    </dataValidation>
    <dataValidation sqref="H108" showDropDown="0" showInputMessage="0" showErrorMessage="0" allowBlank="1" type="list">
      <formula1>'⚙️ Config'!$B$2:$B$6</formula1>
    </dataValidation>
    <dataValidation sqref="J108" showDropDown="0" showInputMessage="0" showErrorMessage="0" allowBlank="1" type="list">
      <formula1>'⚙️ Config'!$A$2:$A$9</formula1>
    </dataValidation>
    <dataValidation sqref="L108" showDropDown="0" showInputMessage="0" showErrorMessage="0" allowBlank="1" type="list">
      <formula1>'⚙️ Config'!$C$2:$C$4</formula1>
    </dataValidation>
    <dataValidation sqref="N108" showDropDown="0" showInputMessage="0" showErrorMessage="0" allowBlank="1" type="list">
      <formula1>'⚙️ Config'!$C$2:$C$4</formula1>
    </dataValidation>
    <dataValidation sqref="O108" showDropDown="0" showInputMessage="0" showErrorMessage="0" allowBlank="1" type="list">
      <formula1>'⚙️ Config'!$G$2:$G$7</formula1>
    </dataValidation>
    <dataValidation sqref="B109" showDropDown="0" showInputMessage="0" showErrorMessage="0" allowBlank="1" type="list">
      <formula1>'🛤️ Learning Paths'!$B$4:$B$103</formula1>
    </dataValidation>
    <dataValidation sqref="H109" showDropDown="0" showInputMessage="0" showErrorMessage="0" allowBlank="1" type="list">
      <formula1>'⚙️ Config'!$B$2:$B$6</formula1>
    </dataValidation>
    <dataValidation sqref="J109" showDropDown="0" showInputMessage="0" showErrorMessage="0" allowBlank="1" type="list">
      <formula1>'⚙️ Config'!$A$2:$A$9</formula1>
    </dataValidation>
    <dataValidation sqref="L109" showDropDown="0" showInputMessage="0" showErrorMessage="0" allowBlank="1" type="list">
      <formula1>'⚙️ Config'!$C$2:$C$4</formula1>
    </dataValidation>
    <dataValidation sqref="N109" showDropDown="0" showInputMessage="0" showErrorMessage="0" allowBlank="1" type="list">
      <formula1>'⚙️ Config'!$C$2:$C$4</formula1>
    </dataValidation>
    <dataValidation sqref="O109" showDropDown="0" showInputMessage="0" showErrorMessage="0" allowBlank="1" type="list">
      <formula1>'⚙️ Config'!$G$2:$G$7</formula1>
    </dataValidation>
    <dataValidation sqref="B110" showDropDown="0" showInputMessage="0" showErrorMessage="0" allowBlank="1" type="list">
      <formula1>'🛤️ Learning Paths'!$B$4:$B$103</formula1>
    </dataValidation>
    <dataValidation sqref="H110" showDropDown="0" showInputMessage="0" showErrorMessage="0" allowBlank="1" type="list">
      <formula1>'⚙️ Config'!$B$2:$B$6</formula1>
    </dataValidation>
    <dataValidation sqref="J110" showDropDown="0" showInputMessage="0" showErrorMessage="0" allowBlank="1" type="list">
      <formula1>'⚙️ Config'!$A$2:$A$9</formula1>
    </dataValidation>
    <dataValidation sqref="L110" showDropDown="0" showInputMessage="0" showErrorMessage="0" allowBlank="1" type="list">
      <formula1>'⚙️ Config'!$C$2:$C$4</formula1>
    </dataValidation>
    <dataValidation sqref="N110" showDropDown="0" showInputMessage="0" showErrorMessage="0" allowBlank="1" type="list">
      <formula1>'⚙️ Config'!$C$2:$C$4</formula1>
    </dataValidation>
    <dataValidation sqref="O110" showDropDown="0" showInputMessage="0" showErrorMessage="0" allowBlank="1" type="list">
      <formula1>'⚙️ Config'!$G$2:$G$7</formula1>
    </dataValidation>
    <dataValidation sqref="B111" showDropDown="0" showInputMessage="0" showErrorMessage="0" allowBlank="1" type="list">
      <formula1>'🛤️ Learning Paths'!$B$4:$B$103</formula1>
    </dataValidation>
    <dataValidation sqref="H111" showDropDown="0" showInputMessage="0" showErrorMessage="0" allowBlank="1" type="list">
      <formula1>'⚙️ Config'!$B$2:$B$6</formula1>
    </dataValidation>
    <dataValidation sqref="J111" showDropDown="0" showInputMessage="0" showErrorMessage="0" allowBlank="1" type="list">
      <formula1>'⚙️ Config'!$A$2:$A$9</formula1>
    </dataValidation>
    <dataValidation sqref="L111" showDropDown="0" showInputMessage="0" showErrorMessage="0" allowBlank="1" type="list">
      <formula1>'⚙️ Config'!$C$2:$C$4</formula1>
    </dataValidation>
    <dataValidation sqref="N111" showDropDown="0" showInputMessage="0" showErrorMessage="0" allowBlank="1" type="list">
      <formula1>'⚙️ Config'!$C$2:$C$4</formula1>
    </dataValidation>
    <dataValidation sqref="O111" showDropDown="0" showInputMessage="0" showErrorMessage="0" allowBlank="1" type="list">
      <formula1>'⚙️ Config'!$G$2:$G$7</formula1>
    </dataValidation>
    <dataValidation sqref="B112" showDropDown="0" showInputMessage="0" showErrorMessage="0" allowBlank="1" type="list">
      <formula1>'🛤️ Learning Paths'!$B$4:$B$103</formula1>
    </dataValidation>
    <dataValidation sqref="H112" showDropDown="0" showInputMessage="0" showErrorMessage="0" allowBlank="1" type="list">
      <formula1>'⚙️ Config'!$B$2:$B$6</formula1>
    </dataValidation>
    <dataValidation sqref="J112" showDropDown="0" showInputMessage="0" showErrorMessage="0" allowBlank="1" type="list">
      <formula1>'⚙️ Config'!$A$2:$A$9</formula1>
    </dataValidation>
    <dataValidation sqref="L112" showDropDown="0" showInputMessage="0" showErrorMessage="0" allowBlank="1" type="list">
      <formula1>'⚙️ Config'!$C$2:$C$4</formula1>
    </dataValidation>
    <dataValidation sqref="N112" showDropDown="0" showInputMessage="0" showErrorMessage="0" allowBlank="1" type="list">
      <formula1>'⚙️ Config'!$C$2:$C$4</formula1>
    </dataValidation>
    <dataValidation sqref="O112" showDropDown="0" showInputMessage="0" showErrorMessage="0" allowBlank="1" type="list">
      <formula1>'⚙️ Config'!$G$2:$G$7</formula1>
    </dataValidation>
    <dataValidation sqref="B113" showDropDown="0" showInputMessage="0" showErrorMessage="0" allowBlank="1" type="list">
      <formula1>'🛤️ Learning Paths'!$B$4:$B$103</formula1>
    </dataValidation>
    <dataValidation sqref="H113" showDropDown="0" showInputMessage="0" showErrorMessage="0" allowBlank="1" type="list">
      <formula1>'⚙️ Config'!$B$2:$B$6</formula1>
    </dataValidation>
    <dataValidation sqref="J113" showDropDown="0" showInputMessage="0" showErrorMessage="0" allowBlank="1" type="list">
      <formula1>'⚙️ Config'!$A$2:$A$9</formula1>
    </dataValidation>
    <dataValidation sqref="L113" showDropDown="0" showInputMessage="0" showErrorMessage="0" allowBlank="1" type="list">
      <formula1>'⚙️ Config'!$C$2:$C$4</formula1>
    </dataValidation>
    <dataValidation sqref="N113" showDropDown="0" showInputMessage="0" showErrorMessage="0" allowBlank="1" type="list">
      <formula1>'⚙️ Config'!$C$2:$C$4</formula1>
    </dataValidation>
    <dataValidation sqref="O113" showDropDown="0" showInputMessage="0" showErrorMessage="0" allowBlank="1" type="list">
      <formula1>'⚙️ Config'!$G$2:$G$7</formula1>
    </dataValidation>
    <dataValidation sqref="B114" showDropDown="0" showInputMessage="0" showErrorMessage="0" allowBlank="1" type="list">
      <formula1>'🛤️ Learning Paths'!$B$4:$B$103</formula1>
    </dataValidation>
    <dataValidation sqref="H114" showDropDown="0" showInputMessage="0" showErrorMessage="0" allowBlank="1" type="list">
      <formula1>'⚙️ Config'!$B$2:$B$6</formula1>
    </dataValidation>
    <dataValidation sqref="J114" showDropDown="0" showInputMessage="0" showErrorMessage="0" allowBlank="1" type="list">
      <formula1>'⚙️ Config'!$A$2:$A$9</formula1>
    </dataValidation>
    <dataValidation sqref="L114" showDropDown="0" showInputMessage="0" showErrorMessage="0" allowBlank="1" type="list">
      <formula1>'⚙️ Config'!$C$2:$C$4</formula1>
    </dataValidation>
    <dataValidation sqref="N114" showDropDown="0" showInputMessage="0" showErrorMessage="0" allowBlank="1" type="list">
      <formula1>'⚙️ Config'!$C$2:$C$4</formula1>
    </dataValidation>
    <dataValidation sqref="O114" showDropDown="0" showInputMessage="0" showErrorMessage="0" allowBlank="1" type="list">
      <formula1>'⚙️ Config'!$G$2:$G$7</formula1>
    </dataValidation>
    <dataValidation sqref="B115" showDropDown="0" showInputMessage="0" showErrorMessage="0" allowBlank="1" type="list">
      <formula1>'🛤️ Learning Paths'!$B$4:$B$103</formula1>
    </dataValidation>
    <dataValidation sqref="H115" showDropDown="0" showInputMessage="0" showErrorMessage="0" allowBlank="1" type="list">
      <formula1>'⚙️ Config'!$B$2:$B$6</formula1>
    </dataValidation>
    <dataValidation sqref="J115" showDropDown="0" showInputMessage="0" showErrorMessage="0" allowBlank="1" type="list">
      <formula1>'⚙️ Config'!$A$2:$A$9</formula1>
    </dataValidation>
    <dataValidation sqref="L115" showDropDown="0" showInputMessage="0" showErrorMessage="0" allowBlank="1" type="list">
      <formula1>'⚙️ Config'!$C$2:$C$4</formula1>
    </dataValidation>
    <dataValidation sqref="N115" showDropDown="0" showInputMessage="0" showErrorMessage="0" allowBlank="1" type="list">
      <formula1>'⚙️ Config'!$C$2:$C$4</formula1>
    </dataValidation>
    <dataValidation sqref="O115" showDropDown="0" showInputMessage="0" showErrorMessage="0" allowBlank="1" type="list">
      <formula1>'⚙️ Config'!$G$2:$G$7</formula1>
    </dataValidation>
    <dataValidation sqref="B116" showDropDown="0" showInputMessage="0" showErrorMessage="0" allowBlank="1" type="list">
      <formula1>'🛤️ Learning Paths'!$B$4:$B$103</formula1>
    </dataValidation>
    <dataValidation sqref="H116" showDropDown="0" showInputMessage="0" showErrorMessage="0" allowBlank="1" type="list">
      <formula1>'⚙️ Config'!$B$2:$B$6</formula1>
    </dataValidation>
    <dataValidation sqref="J116" showDropDown="0" showInputMessage="0" showErrorMessage="0" allowBlank="1" type="list">
      <formula1>'⚙️ Config'!$A$2:$A$9</formula1>
    </dataValidation>
    <dataValidation sqref="L116" showDropDown="0" showInputMessage="0" showErrorMessage="0" allowBlank="1" type="list">
      <formula1>'⚙️ Config'!$C$2:$C$4</formula1>
    </dataValidation>
    <dataValidation sqref="N116" showDropDown="0" showInputMessage="0" showErrorMessage="0" allowBlank="1" type="list">
      <formula1>'⚙️ Config'!$C$2:$C$4</formula1>
    </dataValidation>
    <dataValidation sqref="O116" showDropDown="0" showInputMessage="0" showErrorMessage="0" allowBlank="1" type="list">
      <formula1>'⚙️ Config'!$G$2:$G$7</formula1>
    </dataValidation>
    <dataValidation sqref="B117" showDropDown="0" showInputMessage="0" showErrorMessage="0" allowBlank="1" type="list">
      <formula1>'🛤️ Learning Paths'!$B$4:$B$103</formula1>
    </dataValidation>
    <dataValidation sqref="H117" showDropDown="0" showInputMessage="0" showErrorMessage="0" allowBlank="1" type="list">
      <formula1>'⚙️ Config'!$B$2:$B$6</formula1>
    </dataValidation>
    <dataValidation sqref="J117" showDropDown="0" showInputMessage="0" showErrorMessage="0" allowBlank="1" type="list">
      <formula1>'⚙️ Config'!$A$2:$A$9</formula1>
    </dataValidation>
    <dataValidation sqref="L117" showDropDown="0" showInputMessage="0" showErrorMessage="0" allowBlank="1" type="list">
      <formula1>'⚙️ Config'!$C$2:$C$4</formula1>
    </dataValidation>
    <dataValidation sqref="N117" showDropDown="0" showInputMessage="0" showErrorMessage="0" allowBlank="1" type="list">
      <formula1>'⚙️ Config'!$C$2:$C$4</formula1>
    </dataValidation>
    <dataValidation sqref="O117" showDropDown="0" showInputMessage="0" showErrorMessage="0" allowBlank="1" type="list">
      <formula1>'⚙️ Config'!$G$2:$G$7</formula1>
    </dataValidation>
    <dataValidation sqref="B118" showDropDown="0" showInputMessage="0" showErrorMessage="0" allowBlank="1" type="list">
      <formula1>'🛤️ Learning Paths'!$B$4:$B$103</formula1>
    </dataValidation>
    <dataValidation sqref="H118" showDropDown="0" showInputMessage="0" showErrorMessage="0" allowBlank="1" type="list">
      <formula1>'⚙️ Config'!$B$2:$B$6</formula1>
    </dataValidation>
    <dataValidation sqref="J118" showDropDown="0" showInputMessage="0" showErrorMessage="0" allowBlank="1" type="list">
      <formula1>'⚙️ Config'!$A$2:$A$9</formula1>
    </dataValidation>
    <dataValidation sqref="L118" showDropDown="0" showInputMessage="0" showErrorMessage="0" allowBlank="1" type="list">
      <formula1>'⚙️ Config'!$C$2:$C$4</formula1>
    </dataValidation>
    <dataValidation sqref="N118" showDropDown="0" showInputMessage="0" showErrorMessage="0" allowBlank="1" type="list">
      <formula1>'⚙️ Config'!$C$2:$C$4</formula1>
    </dataValidation>
    <dataValidation sqref="O118" showDropDown="0" showInputMessage="0" showErrorMessage="0" allowBlank="1" type="list">
      <formula1>'⚙️ Config'!$G$2:$G$7</formula1>
    </dataValidation>
    <dataValidation sqref="B119" showDropDown="0" showInputMessage="0" showErrorMessage="0" allowBlank="1" type="list">
      <formula1>'🛤️ Learning Paths'!$B$4:$B$103</formula1>
    </dataValidation>
    <dataValidation sqref="H119" showDropDown="0" showInputMessage="0" showErrorMessage="0" allowBlank="1" type="list">
      <formula1>'⚙️ Config'!$B$2:$B$6</formula1>
    </dataValidation>
    <dataValidation sqref="J119" showDropDown="0" showInputMessage="0" showErrorMessage="0" allowBlank="1" type="list">
      <formula1>'⚙️ Config'!$A$2:$A$9</formula1>
    </dataValidation>
    <dataValidation sqref="L119" showDropDown="0" showInputMessage="0" showErrorMessage="0" allowBlank="1" type="list">
      <formula1>'⚙️ Config'!$C$2:$C$4</formula1>
    </dataValidation>
    <dataValidation sqref="N119" showDropDown="0" showInputMessage="0" showErrorMessage="0" allowBlank="1" type="list">
      <formula1>'⚙️ Config'!$C$2:$C$4</formula1>
    </dataValidation>
    <dataValidation sqref="O119" showDropDown="0" showInputMessage="0" showErrorMessage="0" allowBlank="1" type="list">
      <formula1>'⚙️ Config'!$G$2:$G$7</formula1>
    </dataValidation>
    <dataValidation sqref="B120" showDropDown="0" showInputMessage="0" showErrorMessage="0" allowBlank="1" type="list">
      <formula1>'🛤️ Learning Paths'!$B$4:$B$103</formula1>
    </dataValidation>
    <dataValidation sqref="H120" showDropDown="0" showInputMessage="0" showErrorMessage="0" allowBlank="1" type="list">
      <formula1>'⚙️ Config'!$B$2:$B$6</formula1>
    </dataValidation>
    <dataValidation sqref="J120" showDropDown="0" showInputMessage="0" showErrorMessage="0" allowBlank="1" type="list">
      <formula1>'⚙️ Config'!$A$2:$A$9</formula1>
    </dataValidation>
    <dataValidation sqref="L120" showDropDown="0" showInputMessage="0" showErrorMessage="0" allowBlank="1" type="list">
      <formula1>'⚙️ Config'!$C$2:$C$4</formula1>
    </dataValidation>
    <dataValidation sqref="N120" showDropDown="0" showInputMessage="0" showErrorMessage="0" allowBlank="1" type="list">
      <formula1>'⚙️ Config'!$C$2:$C$4</formula1>
    </dataValidation>
    <dataValidation sqref="O120" showDropDown="0" showInputMessage="0" showErrorMessage="0" allowBlank="1" type="list">
      <formula1>'⚙️ Config'!$G$2:$G$7</formula1>
    </dataValidation>
    <dataValidation sqref="B121" showDropDown="0" showInputMessage="0" showErrorMessage="0" allowBlank="1" type="list">
      <formula1>'🛤️ Learning Paths'!$B$4:$B$103</formula1>
    </dataValidation>
    <dataValidation sqref="H121" showDropDown="0" showInputMessage="0" showErrorMessage="0" allowBlank="1" type="list">
      <formula1>'⚙️ Config'!$B$2:$B$6</formula1>
    </dataValidation>
    <dataValidation sqref="J121" showDropDown="0" showInputMessage="0" showErrorMessage="0" allowBlank="1" type="list">
      <formula1>'⚙️ Config'!$A$2:$A$9</formula1>
    </dataValidation>
    <dataValidation sqref="L121" showDropDown="0" showInputMessage="0" showErrorMessage="0" allowBlank="1" type="list">
      <formula1>'⚙️ Config'!$C$2:$C$4</formula1>
    </dataValidation>
    <dataValidation sqref="N121" showDropDown="0" showInputMessage="0" showErrorMessage="0" allowBlank="1" type="list">
      <formula1>'⚙️ Config'!$C$2:$C$4</formula1>
    </dataValidation>
    <dataValidation sqref="O121" showDropDown="0" showInputMessage="0" showErrorMessage="0" allowBlank="1" type="list">
      <formula1>'⚙️ Config'!$G$2:$G$7</formula1>
    </dataValidation>
    <dataValidation sqref="B122" showDropDown="0" showInputMessage="0" showErrorMessage="0" allowBlank="1" type="list">
      <formula1>'🛤️ Learning Paths'!$B$4:$B$103</formula1>
    </dataValidation>
    <dataValidation sqref="H122" showDropDown="0" showInputMessage="0" showErrorMessage="0" allowBlank="1" type="list">
      <formula1>'⚙️ Config'!$B$2:$B$6</formula1>
    </dataValidation>
    <dataValidation sqref="J122" showDropDown="0" showInputMessage="0" showErrorMessage="0" allowBlank="1" type="list">
      <formula1>'⚙️ Config'!$A$2:$A$9</formula1>
    </dataValidation>
    <dataValidation sqref="L122" showDropDown="0" showInputMessage="0" showErrorMessage="0" allowBlank="1" type="list">
      <formula1>'⚙️ Config'!$C$2:$C$4</formula1>
    </dataValidation>
    <dataValidation sqref="N122" showDropDown="0" showInputMessage="0" showErrorMessage="0" allowBlank="1" type="list">
      <formula1>'⚙️ Config'!$C$2:$C$4</formula1>
    </dataValidation>
    <dataValidation sqref="O122" showDropDown="0" showInputMessage="0" showErrorMessage="0" allowBlank="1" type="list">
      <formula1>'⚙️ Config'!$G$2:$G$7</formula1>
    </dataValidation>
    <dataValidation sqref="B123" showDropDown="0" showInputMessage="0" showErrorMessage="0" allowBlank="1" type="list">
      <formula1>'🛤️ Learning Paths'!$B$4:$B$103</formula1>
    </dataValidation>
    <dataValidation sqref="H123" showDropDown="0" showInputMessage="0" showErrorMessage="0" allowBlank="1" type="list">
      <formula1>'⚙️ Config'!$B$2:$B$6</formula1>
    </dataValidation>
    <dataValidation sqref="J123" showDropDown="0" showInputMessage="0" showErrorMessage="0" allowBlank="1" type="list">
      <formula1>'⚙️ Config'!$A$2:$A$9</formula1>
    </dataValidation>
    <dataValidation sqref="L123" showDropDown="0" showInputMessage="0" showErrorMessage="0" allowBlank="1" type="list">
      <formula1>'⚙️ Config'!$C$2:$C$4</formula1>
    </dataValidation>
    <dataValidation sqref="N123" showDropDown="0" showInputMessage="0" showErrorMessage="0" allowBlank="1" type="list">
      <formula1>'⚙️ Config'!$C$2:$C$4</formula1>
    </dataValidation>
    <dataValidation sqref="O123" showDropDown="0" showInputMessage="0" showErrorMessage="0" allowBlank="1" type="list">
      <formula1>'⚙️ Config'!$G$2:$G$7</formula1>
    </dataValidation>
    <dataValidation sqref="B124" showDropDown="0" showInputMessage="0" showErrorMessage="0" allowBlank="1" type="list">
      <formula1>'🛤️ Learning Paths'!$B$4:$B$103</formula1>
    </dataValidation>
    <dataValidation sqref="H124" showDropDown="0" showInputMessage="0" showErrorMessage="0" allowBlank="1" type="list">
      <formula1>'⚙️ Config'!$B$2:$B$6</formula1>
    </dataValidation>
    <dataValidation sqref="J124" showDropDown="0" showInputMessage="0" showErrorMessage="0" allowBlank="1" type="list">
      <formula1>'⚙️ Config'!$A$2:$A$9</formula1>
    </dataValidation>
    <dataValidation sqref="L124" showDropDown="0" showInputMessage="0" showErrorMessage="0" allowBlank="1" type="list">
      <formula1>'⚙️ Config'!$C$2:$C$4</formula1>
    </dataValidation>
    <dataValidation sqref="N124" showDropDown="0" showInputMessage="0" showErrorMessage="0" allowBlank="1" type="list">
      <formula1>'⚙️ Config'!$C$2:$C$4</formula1>
    </dataValidation>
    <dataValidation sqref="O124" showDropDown="0" showInputMessage="0" showErrorMessage="0" allowBlank="1" type="list">
      <formula1>'⚙️ Config'!$G$2:$G$7</formula1>
    </dataValidation>
    <dataValidation sqref="B125" showDropDown="0" showInputMessage="0" showErrorMessage="0" allowBlank="1" type="list">
      <formula1>'🛤️ Learning Paths'!$B$4:$B$103</formula1>
    </dataValidation>
    <dataValidation sqref="H125" showDropDown="0" showInputMessage="0" showErrorMessage="0" allowBlank="1" type="list">
      <formula1>'⚙️ Config'!$B$2:$B$6</formula1>
    </dataValidation>
    <dataValidation sqref="J125" showDropDown="0" showInputMessage="0" showErrorMessage="0" allowBlank="1" type="list">
      <formula1>'⚙️ Config'!$A$2:$A$9</formula1>
    </dataValidation>
    <dataValidation sqref="L125" showDropDown="0" showInputMessage="0" showErrorMessage="0" allowBlank="1" type="list">
      <formula1>'⚙️ Config'!$C$2:$C$4</formula1>
    </dataValidation>
    <dataValidation sqref="N125" showDropDown="0" showInputMessage="0" showErrorMessage="0" allowBlank="1" type="list">
      <formula1>'⚙️ Config'!$C$2:$C$4</formula1>
    </dataValidation>
    <dataValidation sqref="O125" showDropDown="0" showInputMessage="0" showErrorMessage="0" allowBlank="1" type="list">
      <formula1>'⚙️ Config'!$G$2:$G$7</formula1>
    </dataValidation>
    <dataValidation sqref="B126" showDropDown="0" showInputMessage="0" showErrorMessage="0" allowBlank="1" type="list">
      <formula1>'🛤️ Learning Paths'!$B$4:$B$103</formula1>
    </dataValidation>
    <dataValidation sqref="H126" showDropDown="0" showInputMessage="0" showErrorMessage="0" allowBlank="1" type="list">
      <formula1>'⚙️ Config'!$B$2:$B$6</formula1>
    </dataValidation>
    <dataValidation sqref="J126" showDropDown="0" showInputMessage="0" showErrorMessage="0" allowBlank="1" type="list">
      <formula1>'⚙️ Config'!$A$2:$A$9</formula1>
    </dataValidation>
    <dataValidation sqref="L126" showDropDown="0" showInputMessage="0" showErrorMessage="0" allowBlank="1" type="list">
      <formula1>'⚙️ Config'!$C$2:$C$4</formula1>
    </dataValidation>
    <dataValidation sqref="N126" showDropDown="0" showInputMessage="0" showErrorMessage="0" allowBlank="1" type="list">
      <formula1>'⚙️ Config'!$C$2:$C$4</formula1>
    </dataValidation>
    <dataValidation sqref="O126" showDropDown="0" showInputMessage="0" showErrorMessage="0" allowBlank="1" type="list">
      <formula1>'⚙️ Config'!$G$2:$G$7</formula1>
    </dataValidation>
    <dataValidation sqref="B127" showDropDown="0" showInputMessage="0" showErrorMessage="0" allowBlank="1" type="list">
      <formula1>'🛤️ Learning Paths'!$B$4:$B$103</formula1>
    </dataValidation>
    <dataValidation sqref="H127" showDropDown="0" showInputMessage="0" showErrorMessage="0" allowBlank="1" type="list">
      <formula1>'⚙️ Config'!$B$2:$B$6</formula1>
    </dataValidation>
    <dataValidation sqref="J127" showDropDown="0" showInputMessage="0" showErrorMessage="0" allowBlank="1" type="list">
      <formula1>'⚙️ Config'!$A$2:$A$9</formula1>
    </dataValidation>
    <dataValidation sqref="L127" showDropDown="0" showInputMessage="0" showErrorMessage="0" allowBlank="1" type="list">
      <formula1>'⚙️ Config'!$C$2:$C$4</formula1>
    </dataValidation>
    <dataValidation sqref="N127" showDropDown="0" showInputMessage="0" showErrorMessage="0" allowBlank="1" type="list">
      <formula1>'⚙️ Config'!$C$2:$C$4</formula1>
    </dataValidation>
    <dataValidation sqref="O127" showDropDown="0" showInputMessage="0" showErrorMessage="0" allowBlank="1" type="list">
      <formula1>'⚙️ Config'!$G$2:$G$7</formula1>
    </dataValidation>
    <dataValidation sqref="B128" showDropDown="0" showInputMessage="0" showErrorMessage="0" allowBlank="1" type="list">
      <formula1>'🛤️ Learning Paths'!$B$4:$B$103</formula1>
    </dataValidation>
    <dataValidation sqref="H128" showDropDown="0" showInputMessage="0" showErrorMessage="0" allowBlank="1" type="list">
      <formula1>'⚙️ Config'!$B$2:$B$6</formula1>
    </dataValidation>
    <dataValidation sqref="J128" showDropDown="0" showInputMessage="0" showErrorMessage="0" allowBlank="1" type="list">
      <formula1>'⚙️ Config'!$A$2:$A$9</formula1>
    </dataValidation>
    <dataValidation sqref="L128" showDropDown="0" showInputMessage="0" showErrorMessage="0" allowBlank="1" type="list">
      <formula1>'⚙️ Config'!$C$2:$C$4</formula1>
    </dataValidation>
    <dataValidation sqref="N128" showDropDown="0" showInputMessage="0" showErrorMessage="0" allowBlank="1" type="list">
      <formula1>'⚙️ Config'!$C$2:$C$4</formula1>
    </dataValidation>
    <dataValidation sqref="O128" showDropDown="0" showInputMessage="0" showErrorMessage="0" allowBlank="1" type="list">
      <formula1>'⚙️ Config'!$G$2:$G$7</formula1>
    </dataValidation>
    <dataValidation sqref="B129" showDropDown="0" showInputMessage="0" showErrorMessage="0" allowBlank="1" type="list">
      <formula1>'🛤️ Learning Paths'!$B$4:$B$103</formula1>
    </dataValidation>
    <dataValidation sqref="H129" showDropDown="0" showInputMessage="0" showErrorMessage="0" allowBlank="1" type="list">
      <formula1>'⚙️ Config'!$B$2:$B$6</formula1>
    </dataValidation>
    <dataValidation sqref="J129" showDropDown="0" showInputMessage="0" showErrorMessage="0" allowBlank="1" type="list">
      <formula1>'⚙️ Config'!$A$2:$A$9</formula1>
    </dataValidation>
    <dataValidation sqref="L129" showDropDown="0" showInputMessage="0" showErrorMessage="0" allowBlank="1" type="list">
      <formula1>'⚙️ Config'!$C$2:$C$4</formula1>
    </dataValidation>
    <dataValidation sqref="N129" showDropDown="0" showInputMessage="0" showErrorMessage="0" allowBlank="1" type="list">
      <formula1>'⚙️ Config'!$C$2:$C$4</formula1>
    </dataValidation>
    <dataValidation sqref="O129" showDropDown="0" showInputMessage="0" showErrorMessage="0" allowBlank="1" type="list">
      <formula1>'⚙️ Config'!$G$2:$G$7</formula1>
    </dataValidation>
    <dataValidation sqref="B130" showDropDown="0" showInputMessage="0" showErrorMessage="0" allowBlank="1" type="list">
      <formula1>'🛤️ Learning Paths'!$B$4:$B$103</formula1>
    </dataValidation>
    <dataValidation sqref="H130" showDropDown="0" showInputMessage="0" showErrorMessage="0" allowBlank="1" type="list">
      <formula1>'⚙️ Config'!$B$2:$B$6</formula1>
    </dataValidation>
    <dataValidation sqref="J130" showDropDown="0" showInputMessage="0" showErrorMessage="0" allowBlank="1" type="list">
      <formula1>'⚙️ Config'!$A$2:$A$9</formula1>
    </dataValidation>
    <dataValidation sqref="L130" showDropDown="0" showInputMessage="0" showErrorMessage="0" allowBlank="1" type="list">
      <formula1>'⚙️ Config'!$C$2:$C$4</formula1>
    </dataValidation>
    <dataValidation sqref="N130" showDropDown="0" showInputMessage="0" showErrorMessage="0" allowBlank="1" type="list">
      <formula1>'⚙️ Config'!$C$2:$C$4</formula1>
    </dataValidation>
    <dataValidation sqref="O130" showDropDown="0" showInputMessage="0" showErrorMessage="0" allowBlank="1" type="list">
      <formula1>'⚙️ Config'!$G$2:$G$7</formula1>
    </dataValidation>
    <dataValidation sqref="B131" showDropDown="0" showInputMessage="0" showErrorMessage="0" allowBlank="1" type="list">
      <formula1>'🛤️ Learning Paths'!$B$4:$B$103</formula1>
    </dataValidation>
    <dataValidation sqref="H131" showDropDown="0" showInputMessage="0" showErrorMessage="0" allowBlank="1" type="list">
      <formula1>'⚙️ Config'!$B$2:$B$6</formula1>
    </dataValidation>
    <dataValidation sqref="J131" showDropDown="0" showInputMessage="0" showErrorMessage="0" allowBlank="1" type="list">
      <formula1>'⚙️ Config'!$A$2:$A$9</formula1>
    </dataValidation>
    <dataValidation sqref="L131" showDropDown="0" showInputMessage="0" showErrorMessage="0" allowBlank="1" type="list">
      <formula1>'⚙️ Config'!$C$2:$C$4</formula1>
    </dataValidation>
    <dataValidation sqref="N131" showDropDown="0" showInputMessage="0" showErrorMessage="0" allowBlank="1" type="list">
      <formula1>'⚙️ Config'!$C$2:$C$4</formula1>
    </dataValidation>
    <dataValidation sqref="O131" showDropDown="0" showInputMessage="0" showErrorMessage="0" allowBlank="1" type="list">
      <formula1>'⚙️ Config'!$G$2:$G$7</formula1>
    </dataValidation>
    <dataValidation sqref="B132" showDropDown="0" showInputMessage="0" showErrorMessage="0" allowBlank="1" type="list">
      <formula1>'🛤️ Learning Paths'!$B$4:$B$103</formula1>
    </dataValidation>
    <dataValidation sqref="H132" showDropDown="0" showInputMessage="0" showErrorMessage="0" allowBlank="1" type="list">
      <formula1>'⚙️ Config'!$B$2:$B$6</formula1>
    </dataValidation>
    <dataValidation sqref="J132" showDropDown="0" showInputMessage="0" showErrorMessage="0" allowBlank="1" type="list">
      <formula1>'⚙️ Config'!$A$2:$A$9</formula1>
    </dataValidation>
    <dataValidation sqref="L132" showDropDown="0" showInputMessage="0" showErrorMessage="0" allowBlank="1" type="list">
      <formula1>'⚙️ Config'!$C$2:$C$4</formula1>
    </dataValidation>
    <dataValidation sqref="N132" showDropDown="0" showInputMessage="0" showErrorMessage="0" allowBlank="1" type="list">
      <formula1>'⚙️ Config'!$C$2:$C$4</formula1>
    </dataValidation>
    <dataValidation sqref="O132" showDropDown="0" showInputMessage="0" showErrorMessage="0" allowBlank="1" type="list">
      <formula1>'⚙️ Config'!$G$2:$G$7</formula1>
    </dataValidation>
    <dataValidation sqref="B133" showDropDown="0" showInputMessage="0" showErrorMessage="0" allowBlank="1" type="list">
      <formula1>'🛤️ Learning Paths'!$B$4:$B$103</formula1>
    </dataValidation>
    <dataValidation sqref="H133" showDropDown="0" showInputMessage="0" showErrorMessage="0" allowBlank="1" type="list">
      <formula1>'⚙️ Config'!$B$2:$B$6</formula1>
    </dataValidation>
    <dataValidation sqref="J133" showDropDown="0" showInputMessage="0" showErrorMessage="0" allowBlank="1" type="list">
      <formula1>'⚙️ Config'!$A$2:$A$9</formula1>
    </dataValidation>
    <dataValidation sqref="L133" showDropDown="0" showInputMessage="0" showErrorMessage="0" allowBlank="1" type="list">
      <formula1>'⚙️ Config'!$C$2:$C$4</formula1>
    </dataValidation>
    <dataValidation sqref="N133" showDropDown="0" showInputMessage="0" showErrorMessage="0" allowBlank="1" type="list">
      <formula1>'⚙️ Config'!$C$2:$C$4</formula1>
    </dataValidation>
    <dataValidation sqref="O133" showDropDown="0" showInputMessage="0" showErrorMessage="0" allowBlank="1" type="list">
      <formula1>'⚙️ Config'!$G$2:$G$7</formula1>
    </dataValidation>
    <dataValidation sqref="B134" showDropDown="0" showInputMessage="0" showErrorMessage="0" allowBlank="1" type="list">
      <formula1>'🛤️ Learning Paths'!$B$4:$B$103</formula1>
    </dataValidation>
    <dataValidation sqref="H134" showDropDown="0" showInputMessage="0" showErrorMessage="0" allowBlank="1" type="list">
      <formula1>'⚙️ Config'!$B$2:$B$6</formula1>
    </dataValidation>
    <dataValidation sqref="J134" showDropDown="0" showInputMessage="0" showErrorMessage="0" allowBlank="1" type="list">
      <formula1>'⚙️ Config'!$A$2:$A$9</formula1>
    </dataValidation>
    <dataValidation sqref="L134" showDropDown="0" showInputMessage="0" showErrorMessage="0" allowBlank="1" type="list">
      <formula1>'⚙️ Config'!$C$2:$C$4</formula1>
    </dataValidation>
    <dataValidation sqref="N134" showDropDown="0" showInputMessage="0" showErrorMessage="0" allowBlank="1" type="list">
      <formula1>'⚙️ Config'!$C$2:$C$4</formula1>
    </dataValidation>
    <dataValidation sqref="O134" showDropDown="0" showInputMessage="0" showErrorMessage="0" allowBlank="1" type="list">
      <formula1>'⚙️ Config'!$G$2:$G$7</formula1>
    </dataValidation>
    <dataValidation sqref="B135" showDropDown="0" showInputMessage="0" showErrorMessage="0" allowBlank="1" type="list">
      <formula1>'🛤️ Learning Paths'!$B$4:$B$103</formula1>
    </dataValidation>
    <dataValidation sqref="H135" showDropDown="0" showInputMessage="0" showErrorMessage="0" allowBlank="1" type="list">
      <formula1>'⚙️ Config'!$B$2:$B$6</formula1>
    </dataValidation>
    <dataValidation sqref="J135" showDropDown="0" showInputMessage="0" showErrorMessage="0" allowBlank="1" type="list">
      <formula1>'⚙️ Config'!$A$2:$A$9</formula1>
    </dataValidation>
    <dataValidation sqref="L135" showDropDown="0" showInputMessage="0" showErrorMessage="0" allowBlank="1" type="list">
      <formula1>'⚙️ Config'!$C$2:$C$4</formula1>
    </dataValidation>
    <dataValidation sqref="N135" showDropDown="0" showInputMessage="0" showErrorMessage="0" allowBlank="1" type="list">
      <formula1>'⚙️ Config'!$C$2:$C$4</formula1>
    </dataValidation>
    <dataValidation sqref="O135" showDropDown="0" showInputMessage="0" showErrorMessage="0" allowBlank="1" type="list">
      <formula1>'⚙️ Config'!$G$2:$G$7</formula1>
    </dataValidation>
    <dataValidation sqref="B136" showDropDown="0" showInputMessage="0" showErrorMessage="0" allowBlank="1" type="list">
      <formula1>'🛤️ Learning Paths'!$B$4:$B$103</formula1>
    </dataValidation>
    <dataValidation sqref="H136" showDropDown="0" showInputMessage="0" showErrorMessage="0" allowBlank="1" type="list">
      <formula1>'⚙️ Config'!$B$2:$B$6</formula1>
    </dataValidation>
    <dataValidation sqref="J136" showDropDown="0" showInputMessage="0" showErrorMessage="0" allowBlank="1" type="list">
      <formula1>'⚙️ Config'!$A$2:$A$9</formula1>
    </dataValidation>
    <dataValidation sqref="L136" showDropDown="0" showInputMessage="0" showErrorMessage="0" allowBlank="1" type="list">
      <formula1>'⚙️ Config'!$C$2:$C$4</formula1>
    </dataValidation>
    <dataValidation sqref="N136" showDropDown="0" showInputMessage="0" showErrorMessage="0" allowBlank="1" type="list">
      <formula1>'⚙️ Config'!$C$2:$C$4</formula1>
    </dataValidation>
    <dataValidation sqref="O136" showDropDown="0" showInputMessage="0" showErrorMessage="0" allowBlank="1" type="list">
      <formula1>'⚙️ Config'!$G$2:$G$7</formula1>
    </dataValidation>
    <dataValidation sqref="B137" showDropDown="0" showInputMessage="0" showErrorMessage="0" allowBlank="1" type="list">
      <formula1>'🛤️ Learning Paths'!$B$4:$B$103</formula1>
    </dataValidation>
    <dataValidation sqref="H137" showDropDown="0" showInputMessage="0" showErrorMessage="0" allowBlank="1" type="list">
      <formula1>'⚙️ Config'!$B$2:$B$6</formula1>
    </dataValidation>
    <dataValidation sqref="J137" showDropDown="0" showInputMessage="0" showErrorMessage="0" allowBlank="1" type="list">
      <formula1>'⚙️ Config'!$A$2:$A$9</formula1>
    </dataValidation>
    <dataValidation sqref="L137" showDropDown="0" showInputMessage="0" showErrorMessage="0" allowBlank="1" type="list">
      <formula1>'⚙️ Config'!$C$2:$C$4</formula1>
    </dataValidation>
    <dataValidation sqref="N137" showDropDown="0" showInputMessage="0" showErrorMessage="0" allowBlank="1" type="list">
      <formula1>'⚙️ Config'!$C$2:$C$4</formula1>
    </dataValidation>
    <dataValidation sqref="O137" showDropDown="0" showInputMessage="0" showErrorMessage="0" allowBlank="1" type="list">
      <formula1>'⚙️ Config'!$G$2:$G$7</formula1>
    </dataValidation>
    <dataValidation sqref="B138" showDropDown="0" showInputMessage="0" showErrorMessage="0" allowBlank="1" type="list">
      <formula1>'🛤️ Learning Paths'!$B$4:$B$103</formula1>
    </dataValidation>
    <dataValidation sqref="H138" showDropDown="0" showInputMessage="0" showErrorMessage="0" allowBlank="1" type="list">
      <formula1>'⚙️ Config'!$B$2:$B$6</formula1>
    </dataValidation>
    <dataValidation sqref="J138" showDropDown="0" showInputMessage="0" showErrorMessage="0" allowBlank="1" type="list">
      <formula1>'⚙️ Config'!$A$2:$A$9</formula1>
    </dataValidation>
    <dataValidation sqref="L138" showDropDown="0" showInputMessage="0" showErrorMessage="0" allowBlank="1" type="list">
      <formula1>'⚙️ Config'!$C$2:$C$4</formula1>
    </dataValidation>
    <dataValidation sqref="N138" showDropDown="0" showInputMessage="0" showErrorMessage="0" allowBlank="1" type="list">
      <formula1>'⚙️ Config'!$C$2:$C$4</formula1>
    </dataValidation>
    <dataValidation sqref="O138" showDropDown="0" showInputMessage="0" showErrorMessage="0" allowBlank="1" type="list">
      <formula1>'⚙️ Config'!$G$2:$G$7</formula1>
    </dataValidation>
    <dataValidation sqref="B139" showDropDown="0" showInputMessage="0" showErrorMessage="0" allowBlank="1" type="list">
      <formula1>'🛤️ Learning Paths'!$B$4:$B$103</formula1>
    </dataValidation>
    <dataValidation sqref="H139" showDropDown="0" showInputMessage="0" showErrorMessage="0" allowBlank="1" type="list">
      <formula1>'⚙️ Config'!$B$2:$B$6</formula1>
    </dataValidation>
    <dataValidation sqref="J139" showDropDown="0" showInputMessage="0" showErrorMessage="0" allowBlank="1" type="list">
      <formula1>'⚙️ Config'!$A$2:$A$9</formula1>
    </dataValidation>
    <dataValidation sqref="L139" showDropDown="0" showInputMessage="0" showErrorMessage="0" allowBlank="1" type="list">
      <formula1>'⚙️ Config'!$C$2:$C$4</formula1>
    </dataValidation>
    <dataValidation sqref="N139" showDropDown="0" showInputMessage="0" showErrorMessage="0" allowBlank="1" type="list">
      <formula1>'⚙️ Config'!$C$2:$C$4</formula1>
    </dataValidation>
    <dataValidation sqref="O139" showDropDown="0" showInputMessage="0" showErrorMessage="0" allowBlank="1" type="list">
      <formula1>'⚙️ Config'!$G$2:$G$7</formula1>
    </dataValidation>
    <dataValidation sqref="B140" showDropDown="0" showInputMessage="0" showErrorMessage="0" allowBlank="1" type="list">
      <formula1>'🛤️ Learning Paths'!$B$4:$B$103</formula1>
    </dataValidation>
    <dataValidation sqref="H140" showDropDown="0" showInputMessage="0" showErrorMessage="0" allowBlank="1" type="list">
      <formula1>'⚙️ Config'!$B$2:$B$6</formula1>
    </dataValidation>
    <dataValidation sqref="J140" showDropDown="0" showInputMessage="0" showErrorMessage="0" allowBlank="1" type="list">
      <formula1>'⚙️ Config'!$A$2:$A$9</formula1>
    </dataValidation>
    <dataValidation sqref="L140" showDropDown="0" showInputMessage="0" showErrorMessage="0" allowBlank="1" type="list">
      <formula1>'⚙️ Config'!$C$2:$C$4</formula1>
    </dataValidation>
    <dataValidation sqref="N140" showDropDown="0" showInputMessage="0" showErrorMessage="0" allowBlank="1" type="list">
      <formula1>'⚙️ Config'!$C$2:$C$4</formula1>
    </dataValidation>
    <dataValidation sqref="O140" showDropDown="0" showInputMessage="0" showErrorMessage="0" allowBlank="1" type="list">
      <formula1>'⚙️ Config'!$G$2:$G$7</formula1>
    </dataValidation>
    <dataValidation sqref="B141" showDropDown="0" showInputMessage="0" showErrorMessage="0" allowBlank="1" type="list">
      <formula1>'🛤️ Learning Paths'!$B$4:$B$103</formula1>
    </dataValidation>
    <dataValidation sqref="H141" showDropDown="0" showInputMessage="0" showErrorMessage="0" allowBlank="1" type="list">
      <formula1>'⚙️ Config'!$B$2:$B$6</formula1>
    </dataValidation>
    <dataValidation sqref="J141" showDropDown="0" showInputMessage="0" showErrorMessage="0" allowBlank="1" type="list">
      <formula1>'⚙️ Config'!$A$2:$A$9</formula1>
    </dataValidation>
    <dataValidation sqref="L141" showDropDown="0" showInputMessage="0" showErrorMessage="0" allowBlank="1" type="list">
      <formula1>'⚙️ Config'!$C$2:$C$4</formula1>
    </dataValidation>
    <dataValidation sqref="N141" showDropDown="0" showInputMessage="0" showErrorMessage="0" allowBlank="1" type="list">
      <formula1>'⚙️ Config'!$C$2:$C$4</formula1>
    </dataValidation>
    <dataValidation sqref="O141" showDropDown="0" showInputMessage="0" showErrorMessage="0" allowBlank="1" type="list">
      <formula1>'⚙️ Config'!$G$2:$G$7</formula1>
    </dataValidation>
    <dataValidation sqref="B142" showDropDown="0" showInputMessage="0" showErrorMessage="0" allowBlank="1" type="list">
      <formula1>'🛤️ Learning Paths'!$B$4:$B$103</formula1>
    </dataValidation>
    <dataValidation sqref="H142" showDropDown="0" showInputMessage="0" showErrorMessage="0" allowBlank="1" type="list">
      <formula1>'⚙️ Config'!$B$2:$B$6</formula1>
    </dataValidation>
    <dataValidation sqref="J142" showDropDown="0" showInputMessage="0" showErrorMessage="0" allowBlank="1" type="list">
      <formula1>'⚙️ Config'!$A$2:$A$9</formula1>
    </dataValidation>
    <dataValidation sqref="L142" showDropDown="0" showInputMessage="0" showErrorMessage="0" allowBlank="1" type="list">
      <formula1>'⚙️ Config'!$C$2:$C$4</formula1>
    </dataValidation>
    <dataValidation sqref="N142" showDropDown="0" showInputMessage="0" showErrorMessage="0" allowBlank="1" type="list">
      <formula1>'⚙️ Config'!$C$2:$C$4</formula1>
    </dataValidation>
    <dataValidation sqref="O142" showDropDown="0" showInputMessage="0" showErrorMessage="0" allowBlank="1" type="list">
      <formula1>'⚙️ Config'!$G$2:$G$7</formula1>
    </dataValidation>
    <dataValidation sqref="B143" showDropDown="0" showInputMessage="0" showErrorMessage="0" allowBlank="1" type="list">
      <formula1>'🛤️ Learning Paths'!$B$4:$B$103</formula1>
    </dataValidation>
    <dataValidation sqref="H143" showDropDown="0" showInputMessage="0" showErrorMessage="0" allowBlank="1" type="list">
      <formula1>'⚙️ Config'!$B$2:$B$6</formula1>
    </dataValidation>
    <dataValidation sqref="J143" showDropDown="0" showInputMessage="0" showErrorMessage="0" allowBlank="1" type="list">
      <formula1>'⚙️ Config'!$A$2:$A$9</formula1>
    </dataValidation>
    <dataValidation sqref="L143" showDropDown="0" showInputMessage="0" showErrorMessage="0" allowBlank="1" type="list">
      <formula1>'⚙️ Config'!$C$2:$C$4</formula1>
    </dataValidation>
    <dataValidation sqref="N143" showDropDown="0" showInputMessage="0" showErrorMessage="0" allowBlank="1" type="list">
      <formula1>'⚙️ Config'!$C$2:$C$4</formula1>
    </dataValidation>
    <dataValidation sqref="O143" showDropDown="0" showInputMessage="0" showErrorMessage="0" allowBlank="1" type="list">
      <formula1>'⚙️ Config'!$G$2:$G$7</formula1>
    </dataValidation>
    <dataValidation sqref="B144" showDropDown="0" showInputMessage="0" showErrorMessage="0" allowBlank="1" type="list">
      <formula1>'🛤️ Learning Paths'!$B$4:$B$103</formula1>
    </dataValidation>
    <dataValidation sqref="H144" showDropDown="0" showInputMessage="0" showErrorMessage="0" allowBlank="1" type="list">
      <formula1>'⚙️ Config'!$B$2:$B$6</formula1>
    </dataValidation>
    <dataValidation sqref="J144" showDropDown="0" showInputMessage="0" showErrorMessage="0" allowBlank="1" type="list">
      <formula1>'⚙️ Config'!$A$2:$A$9</formula1>
    </dataValidation>
    <dataValidation sqref="L144" showDropDown="0" showInputMessage="0" showErrorMessage="0" allowBlank="1" type="list">
      <formula1>'⚙️ Config'!$C$2:$C$4</formula1>
    </dataValidation>
    <dataValidation sqref="N144" showDropDown="0" showInputMessage="0" showErrorMessage="0" allowBlank="1" type="list">
      <formula1>'⚙️ Config'!$C$2:$C$4</formula1>
    </dataValidation>
    <dataValidation sqref="O144" showDropDown="0" showInputMessage="0" showErrorMessage="0" allowBlank="1" type="list">
      <formula1>'⚙️ Config'!$G$2:$G$7</formula1>
    </dataValidation>
    <dataValidation sqref="B145" showDropDown="0" showInputMessage="0" showErrorMessage="0" allowBlank="1" type="list">
      <formula1>'🛤️ Learning Paths'!$B$4:$B$103</formula1>
    </dataValidation>
    <dataValidation sqref="H145" showDropDown="0" showInputMessage="0" showErrorMessage="0" allowBlank="1" type="list">
      <formula1>'⚙️ Config'!$B$2:$B$6</formula1>
    </dataValidation>
    <dataValidation sqref="J145" showDropDown="0" showInputMessage="0" showErrorMessage="0" allowBlank="1" type="list">
      <formula1>'⚙️ Config'!$A$2:$A$9</formula1>
    </dataValidation>
    <dataValidation sqref="L145" showDropDown="0" showInputMessage="0" showErrorMessage="0" allowBlank="1" type="list">
      <formula1>'⚙️ Config'!$C$2:$C$4</formula1>
    </dataValidation>
    <dataValidation sqref="N145" showDropDown="0" showInputMessage="0" showErrorMessage="0" allowBlank="1" type="list">
      <formula1>'⚙️ Config'!$C$2:$C$4</formula1>
    </dataValidation>
    <dataValidation sqref="O145" showDropDown="0" showInputMessage="0" showErrorMessage="0" allowBlank="1" type="list">
      <formula1>'⚙️ Config'!$G$2:$G$7</formula1>
    </dataValidation>
    <dataValidation sqref="B146" showDropDown="0" showInputMessage="0" showErrorMessage="0" allowBlank="1" type="list">
      <formula1>'🛤️ Learning Paths'!$B$4:$B$103</formula1>
    </dataValidation>
    <dataValidation sqref="H146" showDropDown="0" showInputMessage="0" showErrorMessage="0" allowBlank="1" type="list">
      <formula1>'⚙️ Config'!$B$2:$B$6</formula1>
    </dataValidation>
    <dataValidation sqref="J146" showDropDown="0" showInputMessage="0" showErrorMessage="0" allowBlank="1" type="list">
      <formula1>'⚙️ Config'!$A$2:$A$9</formula1>
    </dataValidation>
    <dataValidation sqref="L146" showDropDown="0" showInputMessage="0" showErrorMessage="0" allowBlank="1" type="list">
      <formula1>'⚙️ Config'!$C$2:$C$4</formula1>
    </dataValidation>
    <dataValidation sqref="N146" showDropDown="0" showInputMessage="0" showErrorMessage="0" allowBlank="1" type="list">
      <formula1>'⚙️ Config'!$C$2:$C$4</formula1>
    </dataValidation>
    <dataValidation sqref="O146" showDropDown="0" showInputMessage="0" showErrorMessage="0" allowBlank="1" type="list">
      <formula1>'⚙️ Config'!$G$2:$G$7</formula1>
    </dataValidation>
    <dataValidation sqref="B147" showDropDown="0" showInputMessage="0" showErrorMessage="0" allowBlank="1" type="list">
      <formula1>'🛤️ Learning Paths'!$B$4:$B$103</formula1>
    </dataValidation>
    <dataValidation sqref="H147" showDropDown="0" showInputMessage="0" showErrorMessage="0" allowBlank="1" type="list">
      <formula1>'⚙️ Config'!$B$2:$B$6</formula1>
    </dataValidation>
    <dataValidation sqref="J147" showDropDown="0" showInputMessage="0" showErrorMessage="0" allowBlank="1" type="list">
      <formula1>'⚙️ Config'!$A$2:$A$9</formula1>
    </dataValidation>
    <dataValidation sqref="L147" showDropDown="0" showInputMessage="0" showErrorMessage="0" allowBlank="1" type="list">
      <formula1>'⚙️ Config'!$C$2:$C$4</formula1>
    </dataValidation>
    <dataValidation sqref="N147" showDropDown="0" showInputMessage="0" showErrorMessage="0" allowBlank="1" type="list">
      <formula1>'⚙️ Config'!$C$2:$C$4</formula1>
    </dataValidation>
    <dataValidation sqref="O147" showDropDown="0" showInputMessage="0" showErrorMessage="0" allowBlank="1" type="list">
      <formula1>'⚙️ Config'!$G$2:$G$7</formula1>
    </dataValidation>
    <dataValidation sqref="B148" showDropDown="0" showInputMessage="0" showErrorMessage="0" allowBlank="1" type="list">
      <formula1>'🛤️ Learning Paths'!$B$4:$B$103</formula1>
    </dataValidation>
    <dataValidation sqref="H148" showDropDown="0" showInputMessage="0" showErrorMessage="0" allowBlank="1" type="list">
      <formula1>'⚙️ Config'!$B$2:$B$6</formula1>
    </dataValidation>
    <dataValidation sqref="J148" showDropDown="0" showInputMessage="0" showErrorMessage="0" allowBlank="1" type="list">
      <formula1>'⚙️ Config'!$A$2:$A$9</formula1>
    </dataValidation>
    <dataValidation sqref="L148" showDropDown="0" showInputMessage="0" showErrorMessage="0" allowBlank="1" type="list">
      <formula1>'⚙️ Config'!$C$2:$C$4</formula1>
    </dataValidation>
    <dataValidation sqref="N148" showDropDown="0" showInputMessage="0" showErrorMessage="0" allowBlank="1" type="list">
      <formula1>'⚙️ Config'!$C$2:$C$4</formula1>
    </dataValidation>
    <dataValidation sqref="O148" showDropDown="0" showInputMessage="0" showErrorMessage="0" allowBlank="1" type="list">
      <formula1>'⚙️ Config'!$G$2:$G$7</formula1>
    </dataValidation>
    <dataValidation sqref="B149" showDropDown="0" showInputMessage="0" showErrorMessage="0" allowBlank="1" type="list">
      <formula1>'🛤️ Learning Paths'!$B$4:$B$103</formula1>
    </dataValidation>
    <dataValidation sqref="H149" showDropDown="0" showInputMessage="0" showErrorMessage="0" allowBlank="1" type="list">
      <formula1>'⚙️ Config'!$B$2:$B$6</formula1>
    </dataValidation>
    <dataValidation sqref="J149" showDropDown="0" showInputMessage="0" showErrorMessage="0" allowBlank="1" type="list">
      <formula1>'⚙️ Config'!$A$2:$A$9</formula1>
    </dataValidation>
    <dataValidation sqref="L149" showDropDown="0" showInputMessage="0" showErrorMessage="0" allowBlank="1" type="list">
      <formula1>'⚙️ Config'!$C$2:$C$4</formula1>
    </dataValidation>
    <dataValidation sqref="N149" showDropDown="0" showInputMessage="0" showErrorMessage="0" allowBlank="1" type="list">
      <formula1>'⚙️ Config'!$C$2:$C$4</formula1>
    </dataValidation>
    <dataValidation sqref="O149" showDropDown="0" showInputMessage="0" showErrorMessage="0" allowBlank="1" type="list">
      <formula1>'⚙️ Config'!$G$2:$G$7</formula1>
    </dataValidation>
    <dataValidation sqref="B150" showDropDown="0" showInputMessage="0" showErrorMessage="0" allowBlank="1" type="list">
      <formula1>'🛤️ Learning Paths'!$B$4:$B$103</formula1>
    </dataValidation>
    <dataValidation sqref="H150" showDropDown="0" showInputMessage="0" showErrorMessage="0" allowBlank="1" type="list">
      <formula1>'⚙️ Config'!$B$2:$B$6</formula1>
    </dataValidation>
    <dataValidation sqref="J150" showDropDown="0" showInputMessage="0" showErrorMessage="0" allowBlank="1" type="list">
      <formula1>'⚙️ Config'!$A$2:$A$9</formula1>
    </dataValidation>
    <dataValidation sqref="L150" showDropDown="0" showInputMessage="0" showErrorMessage="0" allowBlank="1" type="list">
      <formula1>'⚙️ Config'!$C$2:$C$4</formula1>
    </dataValidation>
    <dataValidation sqref="N150" showDropDown="0" showInputMessage="0" showErrorMessage="0" allowBlank="1" type="list">
      <formula1>'⚙️ Config'!$C$2:$C$4</formula1>
    </dataValidation>
    <dataValidation sqref="O150" showDropDown="0" showInputMessage="0" showErrorMessage="0" allowBlank="1" type="list">
      <formula1>'⚙️ Config'!$G$2:$G$7</formula1>
    </dataValidation>
    <dataValidation sqref="B151" showDropDown="0" showInputMessage="0" showErrorMessage="0" allowBlank="1" type="list">
      <formula1>'🛤️ Learning Paths'!$B$4:$B$103</formula1>
    </dataValidation>
    <dataValidation sqref="H151" showDropDown="0" showInputMessage="0" showErrorMessage="0" allowBlank="1" type="list">
      <formula1>'⚙️ Config'!$B$2:$B$6</formula1>
    </dataValidation>
    <dataValidation sqref="J151" showDropDown="0" showInputMessage="0" showErrorMessage="0" allowBlank="1" type="list">
      <formula1>'⚙️ Config'!$A$2:$A$9</formula1>
    </dataValidation>
    <dataValidation sqref="L151" showDropDown="0" showInputMessage="0" showErrorMessage="0" allowBlank="1" type="list">
      <formula1>'⚙️ Config'!$C$2:$C$4</formula1>
    </dataValidation>
    <dataValidation sqref="N151" showDropDown="0" showInputMessage="0" showErrorMessage="0" allowBlank="1" type="list">
      <formula1>'⚙️ Config'!$C$2:$C$4</formula1>
    </dataValidation>
    <dataValidation sqref="O151" showDropDown="0" showInputMessage="0" showErrorMessage="0" allowBlank="1" type="list">
      <formula1>'⚙️ Config'!$G$2:$G$7</formula1>
    </dataValidation>
    <dataValidation sqref="B152" showDropDown="0" showInputMessage="0" showErrorMessage="0" allowBlank="1" type="list">
      <formula1>'🛤️ Learning Paths'!$B$4:$B$103</formula1>
    </dataValidation>
    <dataValidation sqref="H152" showDropDown="0" showInputMessage="0" showErrorMessage="0" allowBlank="1" type="list">
      <formula1>'⚙️ Config'!$B$2:$B$6</formula1>
    </dataValidation>
    <dataValidation sqref="J152" showDropDown="0" showInputMessage="0" showErrorMessage="0" allowBlank="1" type="list">
      <formula1>'⚙️ Config'!$A$2:$A$9</formula1>
    </dataValidation>
    <dataValidation sqref="L152" showDropDown="0" showInputMessage="0" showErrorMessage="0" allowBlank="1" type="list">
      <formula1>'⚙️ Config'!$C$2:$C$4</formula1>
    </dataValidation>
    <dataValidation sqref="N152" showDropDown="0" showInputMessage="0" showErrorMessage="0" allowBlank="1" type="list">
      <formula1>'⚙️ Config'!$C$2:$C$4</formula1>
    </dataValidation>
    <dataValidation sqref="O152" showDropDown="0" showInputMessage="0" showErrorMessage="0" allowBlank="1" type="list">
      <formula1>'⚙️ Config'!$G$2:$G$7</formula1>
    </dataValidation>
    <dataValidation sqref="B153" showDropDown="0" showInputMessage="0" showErrorMessage="0" allowBlank="1" type="list">
      <formula1>'🛤️ Learning Paths'!$B$4:$B$103</formula1>
    </dataValidation>
    <dataValidation sqref="H153" showDropDown="0" showInputMessage="0" showErrorMessage="0" allowBlank="1" type="list">
      <formula1>'⚙️ Config'!$B$2:$B$6</formula1>
    </dataValidation>
    <dataValidation sqref="J153" showDropDown="0" showInputMessage="0" showErrorMessage="0" allowBlank="1" type="list">
      <formula1>'⚙️ Config'!$A$2:$A$9</formula1>
    </dataValidation>
    <dataValidation sqref="L153" showDropDown="0" showInputMessage="0" showErrorMessage="0" allowBlank="1" type="list">
      <formula1>'⚙️ Config'!$C$2:$C$4</formula1>
    </dataValidation>
    <dataValidation sqref="N153" showDropDown="0" showInputMessage="0" showErrorMessage="0" allowBlank="1" type="list">
      <formula1>'⚙️ Config'!$C$2:$C$4</formula1>
    </dataValidation>
    <dataValidation sqref="O153" showDropDown="0" showInputMessage="0" showErrorMessage="0" allowBlank="1" type="list">
      <formula1>'⚙️ Config'!$G$2:$G$7</formula1>
    </dataValidation>
    <dataValidation sqref="B154" showDropDown="0" showInputMessage="0" showErrorMessage="0" allowBlank="1" type="list">
      <formula1>'🛤️ Learning Paths'!$B$4:$B$103</formula1>
    </dataValidation>
    <dataValidation sqref="H154" showDropDown="0" showInputMessage="0" showErrorMessage="0" allowBlank="1" type="list">
      <formula1>'⚙️ Config'!$B$2:$B$6</formula1>
    </dataValidation>
    <dataValidation sqref="J154" showDropDown="0" showInputMessage="0" showErrorMessage="0" allowBlank="1" type="list">
      <formula1>'⚙️ Config'!$A$2:$A$9</formula1>
    </dataValidation>
    <dataValidation sqref="L154" showDropDown="0" showInputMessage="0" showErrorMessage="0" allowBlank="1" type="list">
      <formula1>'⚙️ Config'!$C$2:$C$4</formula1>
    </dataValidation>
    <dataValidation sqref="N154" showDropDown="0" showInputMessage="0" showErrorMessage="0" allowBlank="1" type="list">
      <formula1>'⚙️ Config'!$C$2:$C$4</formula1>
    </dataValidation>
    <dataValidation sqref="O154" showDropDown="0" showInputMessage="0" showErrorMessage="0" allowBlank="1" type="list">
      <formula1>'⚙️ Config'!$G$2:$G$7</formula1>
    </dataValidation>
    <dataValidation sqref="B155" showDropDown="0" showInputMessage="0" showErrorMessage="0" allowBlank="1" type="list">
      <formula1>'🛤️ Learning Paths'!$B$4:$B$103</formula1>
    </dataValidation>
    <dataValidation sqref="H155" showDropDown="0" showInputMessage="0" showErrorMessage="0" allowBlank="1" type="list">
      <formula1>'⚙️ Config'!$B$2:$B$6</formula1>
    </dataValidation>
    <dataValidation sqref="J155" showDropDown="0" showInputMessage="0" showErrorMessage="0" allowBlank="1" type="list">
      <formula1>'⚙️ Config'!$A$2:$A$9</formula1>
    </dataValidation>
    <dataValidation sqref="L155" showDropDown="0" showInputMessage="0" showErrorMessage="0" allowBlank="1" type="list">
      <formula1>'⚙️ Config'!$C$2:$C$4</formula1>
    </dataValidation>
    <dataValidation sqref="N155" showDropDown="0" showInputMessage="0" showErrorMessage="0" allowBlank="1" type="list">
      <formula1>'⚙️ Config'!$C$2:$C$4</formula1>
    </dataValidation>
    <dataValidation sqref="O155" showDropDown="0" showInputMessage="0" showErrorMessage="0" allowBlank="1" type="list">
      <formula1>'⚙️ Config'!$G$2:$G$7</formula1>
    </dataValidation>
    <dataValidation sqref="B156" showDropDown="0" showInputMessage="0" showErrorMessage="0" allowBlank="1" type="list">
      <formula1>'🛤️ Learning Paths'!$B$4:$B$103</formula1>
    </dataValidation>
    <dataValidation sqref="H156" showDropDown="0" showInputMessage="0" showErrorMessage="0" allowBlank="1" type="list">
      <formula1>'⚙️ Config'!$B$2:$B$6</formula1>
    </dataValidation>
    <dataValidation sqref="J156" showDropDown="0" showInputMessage="0" showErrorMessage="0" allowBlank="1" type="list">
      <formula1>'⚙️ Config'!$A$2:$A$9</formula1>
    </dataValidation>
    <dataValidation sqref="L156" showDropDown="0" showInputMessage="0" showErrorMessage="0" allowBlank="1" type="list">
      <formula1>'⚙️ Config'!$C$2:$C$4</formula1>
    </dataValidation>
    <dataValidation sqref="N156" showDropDown="0" showInputMessage="0" showErrorMessage="0" allowBlank="1" type="list">
      <formula1>'⚙️ Config'!$C$2:$C$4</formula1>
    </dataValidation>
    <dataValidation sqref="O156" showDropDown="0" showInputMessage="0" showErrorMessage="0" allowBlank="1" type="list">
      <formula1>'⚙️ Config'!$G$2:$G$7</formula1>
    </dataValidation>
    <dataValidation sqref="B157" showDropDown="0" showInputMessage="0" showErrorMessage="0" allowBlank="1" type="list">
      <formula1>'🛤️ Learning Paths'!$B$4:$B$103</formula1>
    </dataValidation>
    <dataValidation sqref="H157" showDropDown="0" showInputMessage="0" showErrorMessage="0" allowBlank="1" type="list">
      <formula1>'⚙️ Config'!$B$2:$B$6</formula1>
    </dataValidation>
    <dataValidation sqref="J157" showDropDown="0" showInputMessage="0" showErrorMessage="0" allowBlank="1" type="list">
      <formula1>'⚙️ Config'!$A$2:$A$9</formula1>
    </dataValidation>
    <dataValidation sqref="L157" showDropDown="0" showInputMessage="0" showErrorMessage="0" allowBlank="1" type="list">
      <formula1>'⚙️ Config'!$C$2:$C$4</formula1>
    </dataValidation>
    <dataValidation sqref="N157" showDropDown="0" showInputMessage="0" showErrorMessage="0" allowBlank="1" type="list">
      <formula1>'⚙️ Config'!$C$2:$C$4</formula1>
    </dataValidation>
    <dataValidation sqref="O157" showDropDown="0" showInputMessage="0" showErrorMessage="0" allowBlank="1" type="list">
      <formula1>'⚙️ Config'!$G$2:$G$7</formula1>
    </dataValidation>
    <dataValidation sqref="B158" showDropDown="0" showInputMessage="0" showErrorMessage="0" allowBlank="1" type="list">
      <formula1>'🛤️ Learning Paths'!$B$4:$B$103</formula1>
    </dataValidation>
    <dataValidation sqref="H158" showDropDown="0" showInputMessage="0" showErrorMessage="0" allowBlank="1" type="list">
      <formula1>'⚙️ Config'!$B$2:$B$6</formula1>
    </dataValidation>
    <dataValidation sqref="J158" showDropDown="0" showInputMessage="0" showErrorMessage="0" allowBlank="1" type="list">
      <formula1>'⚙️ Config'!$A$2:$A$9</formula1>
    </dataValidation>
    <dataValidation sqref="L158" showDropDown="0" showInputMessage="0" showErrorMessage="0" allowBlank="1" type="list">
      <formula1>'⚙️ Config'!$C$2:$C$4</formula1>
    </dataValidation>
    <dataValidation sqref="N158" showDropDown="0" showInputMessage="0" showErrorMessage="0" allowBlank="1" type="list">
      <formula1>'⚙️ Config'!$C$2:$C$4</formula1>
    </dataValidation>
    <dataValidation sqref="O158" showDropDown="0" showInputMessage="0" showErrorMessage="0" allowBlank="1" type="list">
      <formula1>'⚙️ Config'!$G$2:$G$7</formula1>
    </dataValidation>
    <dataValidation sqref="B159" showDropDown="0" showInputMessage="0" showErrorMessage="0" allowBlank="1" type="list">
      <formula1>'🛤️ Learning Paths'!$B$4:$B$103</formula1>
    </dataValidation>
    <dataValidation sqref="H159" showDropDown="0" showInputMessage="0" showErrorMessage="0" allowBlank="1" type="list">
      <formula1>'⚙️ Config'!$B$2:$B$6</formula1>
    </dataValidation>
    <dataValidation sqref="J159" showDropDown="0" showInputMessage="0" showErrorMessage="0" allowBlank="1" type="list">
      <formula1>'⚙️ Config'!$A$2:$A$9</formula1>
    </dataValidation>
    <dataValidation sqref="L159" showDropDown="0" showInputMessage="0" showErrorMessage="0" allowBlank="1" type="list">
      <formula1>'⚙️ Config'!$C$2:$C$4</formula1>
    </dataValidation>
    <dataValidation sqref="N159" showDropDown="0" showInputMessage="0" showErrorMessage="0" allowBlank="1" type="list">
      <formula1>'⚙️ Config'!$C$2:$C$4</formula1>
    </dataValidation>
    <dataValidation sqref="O159" showDropDown="0" showInputMessage="0" showErrorMessage="0" allowBlank="1" type="list">
      <formula1>'⚙️ Config'!$G$2:$G$7</formula1>
    </dataValidation>
    <dataValidation sqref="B160" showDropDown="0" showInputMessage="0" showErrorMessage="0" allowBlank="1" type="list">
      <formula1>'🛤️ Learning Paths'!$B$4:$B$103</formula1>
    </dataValidation>
    <dataValidation sqref="H160" showDropDown="0" showInputMessage="0" showErrorMessage="0" allowBlank="1" type="list">
      <formula1>'⚙️ Config'!$B$2:$B$6</formula1>
    </dataValidation>
    <dataValidation sqref="J160" showDropDown="0" showInputMessage="0" showErrorMessage="0" allowBlank="1" type="list">
      <formula1>'⚙️ Config'!$A$2:$A$9</formula1>
    </dataValidation>
    <dataValidation sqref="L160" showDropDown="0" showInputMessage="0" showErrorMessage="0" allowBlank="1" type="list">
      <formula1>'⚙️ Config'!$C$2:$C$4</formula1>
    </dataValidation>
    <dataValidation sqref="N160" showDropDown="0" showInputMessage="0" showErrorMessage="0" allowBlank="1" type="list">
      <formula1>'⚙️ Config'!$C$2:$C$4</formula1>
    </dataValidation>
    <dataValidation sqref="O160" showDropDown="0" showInputMessage="0" showErrorMessage="0" allowBlank="1" type="list">
      <formula1>'⚙️ Config'!$G$2:$G$7</formula1>
    </dataValidation>
    <dataValidation sqref="B161" showDropDown="0" showInputMessage="0" showErrorMessage="0" allowBlank="1" type="list">
      <formula1>'🛤️ Learning Paths'!$B$4:$B$103</formula1>
    </dataValidation>
    <dataValidation sqref="H161" showDropDown="0" showInputMessage="0" showErrorMessage="0" allowBlank="1" type="list">
      <formula1>'⚙️ Config'!$B$2:$B$6</formula1>
    </dataValidation>
    <dataValidation sqref="J161" showDropDown="0" showInputMessage="0" showErrorMessage="0" allowBlank="1" type="list">
      <formula1>'⚙️ Config'!$A$2:$A$9</formula1>
    </dataValidation>
    <dataValidation sqref="L161" showDropDown="0" showInputMessage="0" showErrorMessage="0" allowBlank="1" type="list">
      <formula1>'⚙️ Config'!$C$2:$C$4</formula1>
    </dataValidation>
    <dataValidation sqref="N161" showDropDown="0" showInputMessage="0" showErrorMessage="0" allowBlank="1" type="list">
      <formula1>'⚙️ Config'!$C$2:$C$4</formula1>
    </dataValidation>
    <dataValidation sqref="O161" showDropDown="0" showInputMessage="0" showErrorMessage="0" allowBlank="1" type="list">
      <formula1>'⚙️ Config'!$G$2:$G$7</formula1>
    </dataValidation>
    <dataValidation sqref="B162" showDropDown="0" showInputMessage="0" showErrorMessage="0" allowBlank="1" type="list">
      <formula1>'🛤️ Learning Paths'!$B$4:$B$103</formula1>
    </dataValidation>
    <dataValidation sqref="H162" showDropDown="0" showInputMessage="0" showErrorMessage="0" allowBlank="1" type="list">
      <formula1>'⚙️ Config'!$B$2:$B$6</formula1>
    </dataValidation>
    <dataValidation sqref="J162" showDropDown="0" showInputMessage="0" showErrorMessage="0" allowBlank="1" type="list">
      <formula1>'⚙️ Config'!$A$2:$A$9</formula1>
    </dataValidation>
    <dataValidation sqref="L162" showDropDown="0" showInputMessage="0" showErrorMessage="0" allowBlank="1" type="list">
      <formula1>'⚙️ Config'!$C$2:$C$4</formula1>
    </dataValidation>
    <dataValidation sqref="N162" showDropDown="0" showInputMessage="0" showErrorMessage="0" allowBlank="1" type="list">
      <formula1>'⚙️ Config'!$C$2:$C$4</formula1>
    </dataValidation>
    <dataValidation sqref="O162" showDropDown="0" showInputMessage="0" showErrorMessage="0" allowBlank="1" type="list">
      <formula1>'⚙️ Config'!$G$2:$G$7</formula1>
    </dataValidation>
    <dataValidation sqref="B163" showDropDown="0" showInputMessage="0" showErrorMessage="0" allowBlank="1" type="list">
      <formula1>'🛤️ Learning Paths'!$B$4:$B$103</formula1>
    </dataValidation>
    <dataValidation sqref="H163" showDropDown="0" showInputMessage="0" showErrorMessage="0" allowBlank="1" type="list">
      <formula1>'⚙️ Config'!$B$2:$B$6</formula1>
    </dataValidation>
    <dataValidation sqref="J163" showDropDown="0" showInputMessage="0" showErrorMessage="0" allowBlank="1" type="list">
      <formula1>'⚙️ Config'!$A$2:$A$9</formula1>
    </dataValidation>
    <dataValidation sqref="L163" showDropDown="0" showInputMessage="0" showErrorMessage="0" allowBlank="1" type="list">
      <formula1>'⚙️ Config'!$C$2:$C$4</formula1>
    </dataValidation>
    <dataValidation sqref="N163" showDropDown="0" showInputMessage="0" showErrorMessage="0" allowBlank="1" type="list">
      <formula1>'⚙️ Config'!$C$2:$C$4</formula1>
    </dataValidation>
    <dataValidation sqref="O163" showDropDown="0" showInputMessage="0" showErrorMessage="0" allowBlank="1" type="list">
      <formula1>'⚙️ Config'!$G$2:$G$7</formula1>
    </dataValidation>
    <dataValidation sqref="B164" showDropDown="0" showInputMessage="0" showErrorMessage="0" allowBlank="1" type="list">
      <formula1>'🛤️ Learning Paths'!$B$4:$B$103</formula1>
    </dataValidation>
    <dataValidation sqref="H164" showDropDown="0" showInputMessage="0" showErrorMessage="0" allowBlank="1" type="list">
      <formula1>'⚙️ Config'!$B$2:$B$6</formula1>
    </dataValidation>
    <dataValidation sqref="J164" showDropDown="0" showInputMessage="0" showErrorMessage="0" allowBlank="1" type="list">
      <formula1>'⚙️ Config'!$A$2:$A$9</formula1>
    </dataValidation>
    <dataValidation sqref="L164" showDropDown="0" showInputMessage="0" showErrorMessage="0" allowBlank="1" type="list">
      <formula1>'⚙️ Config'!$C$2:$C$4</formula1>
    </dataValidation>
    <dataValidation sqref="N164" showDropDown="0" showInputMessage="0" showErrorMessage="0" allowBlank="1" type="list">
      <formula1>'⚙️ Config'!$C$2:$C$4</formula1>
    </dataValidation>
    <dataValidation sqref="O164" showDropDown="0" showInputMessage="0" showErrorMessage="0" allowBlank="1" type="list">
      <formula1>'⚙️ Config'!$G$2:$G$7</formula1>
    </dataValidation>
    <dataValidation sqref="B165" showDropDown="0" showInputMessage="0" showErrorMessage="0" allowBlank="1" type="list">
      <formula1>'🛤️ Learning Paths'!$B$4:$B$103</formula1>
    </dataValidation>
    <dataValidation sqref="H165" showDropDown="0" showInputMessage="0" showErrorMessage="0" allowBlank="1" type="list">
      <formula1>'⚙️ Config'!$B$2:$B$6</formula1>
    </dataValidation>
    <dataValidation sqref="J165" showDropDown="0" showInputMessage="0" showErrorMessage="0" allowBlank="1" type="list">
      <formula1>'⚙️ Config'!$A$2:$A$9</formula1>
    </dataValidation>
    <dataValidation sqref="L165" showDropDown="0" showInputMessage="0" showErrorMessage="0" allowBlank="1" type="list">
      <formula1>'⚙️ Config'!$C$2:$C$4</formula1>
    </dataValidation>
    <dataValidation sqref="N165" showDropDown="0" showInputMessage="0" showErrorMessage="0" allowBlank="1" type="list">
      <formula1>'⚙️ Config'!$C$2:$C$4</formula1>
    </dataValidation>
    <dataValidation sqref="O165" showDropDown="0" showInputMessage="0" showErrorMessage="0" allowBlank="1" type="list">
      <formula1>'⚙️ Config'!$G$2:$G$7</formula1>
    </dataValidation>
    <dataValidation sqref="B166" showDropDown="0" showInputMessage="0" showErrorMessage="0" allowBlank="1" type="list">
      <formula1>'🛤️ Learning Paths'!$B$4:$B$103</formula1>
    </dataValidation>
    <dataValidation sqref="H166" showDropDown="0" showInputMessage="0" showErrorMessage="0" allowBlank="1" type="list">
      <formula1>'⚙️ Config'!$B$2:$B$6</formula1>
    </dataValidation>
    <dataValidation sqref="J166" showDropDown="0" showInputMessage="0" showErrorMessage="0" allowBlank="1" type="list">
      <formula1>'⚙️ Config'!$A$2:$A$9</formula1>
    </dataValidation>
    <dataValidation sqref="L166" showDropDown="0" showInputMessage="0" showErrorMessage="0" allowBlank="1" type="list">
      <formula1>'⚙️ Config'!$C$2:$C$4</formula1>
    </dataValidation>
    <dataValidation sqref="N166" showDropDown="0" showInputMessage="0" showErrorMessage="0" allowBlank="1" type="list">
      <formula1>'⚙️ Config'!$C$2:$C$4</formula1>
    </dataValidation>
    <dataValidation sqref="O166" showDropDown="0" showInputMessage="0" showErrorMessage="0" allowBlank="1" type="list">
      <formula1>'⚙️ Config'!$G$2:$G$7</formula1>
    </dataValidation>
    <dataValidation sqref="B167" showDropDown="0" showInputMessage="0" showErrorMessage="0" allowBlank="1" type="list">
      <formula1>'🛤️ Learning Paths'!$B$4:$B$103</formula1>
    </dataValidation>
    <dataValidation sqref="H167" showDropDown="0" showInputMessage="0" showErrorMessage="0" allowBlank="1" type="list">
      <formula1>'⚙️ Config'!$B$2:$B$6</formula1>
    </dataValidation>
    <dataValidation sqref="J167" showDropDown="0" showInputMessage="0" showErrorMessage="0" allowBlank="1" type="list">
      <formula1>'⚙️ Config'!$A$2:$A$9</formula1>
    </dataValidation>
    <dataValidation sqref="L167" showDropDown="0" showInputMessage="0" showErrorMessage="0" allowBlank="1" type="list">
      <formula1>'⚙️ Config'!$C$2:$C$4</formula1>
    </dataValidation>
    <dataValidation sqref="N167" showDropDown="0" showInputMessage="0" showErrorMessage="0" allowBlank="1" type="list">
      <formula1>'⚙️ Config'!$C$2:$C$4</formula1>
    </dataValidation>
    <dataValidation sqref="O167" showDropDown="0" showInputMessage="0" showErrorMessage="0" allowBlank="1" type="list">
      <formula1>'⚙️ Config'!$G$2:$G$7</formula1>
    </dataValidation>
    <dataValidation sqref="B168" showDropDown="0" showInputMessage="0" showErrorMessage="0" allowBlank="1" type="list">
      <formula1>'🛤️ Learning Paths'!$B$4:$B$103</formula1>
    </dataValidation>
    <dataValidation sqref="H168" showDropDown="0" showInputMessage="0" showErrorMessage="0" allowBlank="1" type="list">
      <formula1>'⚙️ Config'!$B$2:$B$6</formula1>
    </dataValidation>
    <dataValidation sqref="J168" showDropDown="0" showInputMessage="0" showErrorMessage="0" allowBlank="1" type="list">
      <formula1>'⚙️ Config'!$A$2:$A$9</formula1>
    </dataValidation>
    <dataValidation sqref="L168" showDropDown="0" showInputMessage="0" showErrorMessage="0" allowBlank="1" type="list">
      <formula1>'⚙️ Config'!$C$2:$C$4</formula1>
    </dataValidation>
    <dataValidation sqref="N168" showDropDown="0" showInputMessage="0" showErrorMessage="0" allowBlank="1" type="list">
      <formula1>'⚙️ Config'!$C$2:$C$4</formula1>
    </dataValidation>
    <dataValidation sqref="O168" showDropDown="0" showInputMessage="0" showErrorMessage="0" allowBlank="1" type="list">
      <formula1>'⚙️ Config'!$G$2:$G$7</formula1>
    </dataValidation>
    <dataValidation sqref="B169" showDropDown="0" showInputMessage="0" showErrorMessage="0" allowBlank="1" type="list">
      <formula1>'🛤️ Learning Paths'!$B$4:$B$103</formula1>
    </dataValidation>
    <dataValidation sqref="H169" showDropDown="0" showInputMessage="0" showErrorMessage="0" allowBlank="1" type="list">
      <formula1>'⚙️ Config'!$B$2:$B$6</formula1>
    </dataValidation>
    <dataValidation sqref="J169" showDropDown="0" showInputMessage="0" showErrorMessage="0" allowBlank="1" type="list">
      <formula1>'⚙️ Config'!$A$2:$A$9</formula1>
    </dataValidation>
    <dataValidation sqref="L169" showDropDown="0" showInputMessage="0" showErrorMessage="0" allowBlank="1" type="list">
      <formula1>'⚙️ Config'!$C$2:$C$4</formula1>
    </dataValidation>
    <dataValidation sqref="N169" showDropDown="0" showInputMessage="0" showErrorMessage="0" allowBlank="1" type="list">
      <formula1>'⚙️ Config'!$C$2:$C$4</formula1>
    </dataValidation>
    <dataValidation sqref="O169" showDropDown="0" showInputMessage="0" showErrorMessage="0" allowBlank="1" type="list">
      <formula1>'⚙️ Config'!$G$2:$G$7</formula1>
    </dataValidation>
    <dataValidation sqref="B170" showDropDown="0" showInputMessage="0" showErrorMessage="0" allowBlank="1" type="list">
      <formula1>'🛤️ Learning Paths'!$B$4:$B$103</formula1>
    </dataValidation>
    <dataValidation sqref="H170" showDropDown="0" showInputMessage="0" showErrorMessage="0" allowBlank="1" type="list">
      <formula1>'⚙️ Config'!$B$2:$B$6</formula1>
    </dataValidation>
    <dataValidation sqref="J170" showDropDown="0" showInputMessage="0" showErrorMessage="0" allowBlank="1" type="list">
      <formula1>'⚙️ Config'!$A$2:$A$9</formula1>
    </dataValidation>
    <dataValidation sqref="L170" showDropDown="0" showInputMessage="0" showErrorMessage="0" allowBlank="1" type="list">
      <formula1>'⚙️ Config'!$C$2:$C$4</formula1>
    </dataValidation>
    <dataValidation sqref="N170" showDropDown="0" showInputMessage="0" showErrorMessage="0" allowBlank="1" type="list">
      <formula1>'⚙️ Config'!$C$2:$C$4</formula1>
    </dataValidation>
    <dataValidation sqref="O170" showDropDown="0" showInputMessage="0" showErrorMessage="0" allowBlank="1" type="list">
      <formula1>'⚙️ Config'!$G$2:$G$7</formula1>
    </dataValidation>
    <dataValidation sqref="B171" showDropDown="0" showInputMessage="0" showErrorMessage="0" allowBlank="1" type="list">
      <formula1>'🛤️ Learning Paths'!$B$4:$B$103</formula1>
    </dataValidation>
    <dataValidation sqref="H171" showDropDown="0" showInputMessage="0" showErrorMessage="0" allowBlank="1" type="list">
      <formula1>'⚙️ Config'!$B$2:$B$6</formula1>
    </dataValidation>
    <dataValidation sqref="J171" showDropDown="0" showInputMessage="0" showErrorMessage="0" allowBlank="1" type="list">
      <formula1>'⚙️ Config'!$A$2:$A$9</formula1>
    </dataValidation>
    <dataValidation sqref="L171" showDropDown="0" showInputMessage="0" showErrorMessage="0" allowBlank="1" type="list">
      <formula1>'⚙️ Config'!$C$2:$C$4</formula1>
    </dataValidation>
    <dataValidation sqref="N171" showDropDown="0" showInputMessage="0" showErrorMessage="0" allowBlank="1" type="list">
      <formula1>'⚙️ Config'!$C$2:$C$4</formula1>
    </dataValidation>
    <dataValidation sqref="O171" showDropDown="0" showInputMessage="0" showErrorMessage="0" allowBlank="1" type="list">
      <formula1>'⚙️ Config'!$G$2:$G$7</formula1>
    </dataValidation>
    <dataValidation sqref="B172" showDropDown="0" showInputMessage="0" showErrorMessage="0" allowBlank="1" type="list">
      <formula1>'🛤️ Learning Paths'!$B$4:$B$103</formula1>
    </dataValidation>
    <dataValidation sqref="H172" showDropDown="0" showInputMessage="0" showErrorMessage="0" allowBlank="1" type="list">
      <formula1>'⚙️ Config'!$B$2:$B$6</formula1>
    </dataValidation>
    <dataValidation sqref="J172" showDropDown="0" showInputMessage="0" showErrorMessage="0" allowBlank="1" type="list">
      <formula1>'⚙️ Config'!$A$2:$A$9</formula1>
    </dataValidation>
    <dataValidation sqref="L172" showDropDown="0" showInputMessage="0" showErrorMessage="0" allowBlank="1" type="list">
      <formula1>'⚙️ Config'!$C$2:$C$4</formula1>
    </dataValidation>
    <dataValidation sqref="N172" showDropDown="0" showInputMessage="0" showErrorMessage="0" allowBlank="1" type="list">
      <formula1>'⚙️ Config'!$C$2:$C$4</formula1>
    </dataValidation>
    <dataValidation sqref="O172" showDropDown="0" showInputMessage="0" showErrorMessage="0" allowBlank="1" type="list">
      <formula1>'⚙️ Config'!$G$2:$G$7</formula1>
    </dataValidation>
    <dataValidation sqref="B173" showDropDown="0" showInputMessage="0" showErrorMessage="0" allowBlank="1" type="list">
      <formula1>'🛤️ Learning Paths'!$B$4:$B$103</formula1>
    </dataValidation>
    <dataValidation sqref="H173" showDropDown="0" showInputMessage="0" showErrorMessage="0" allowBlank="1" type="list">
      <formula1>'⚙️ Config'!$B$2:$B$6</formula1>
    </dataValidation>
    <dataValidation sqref="J173" showDropDown="0" showInputMessage="0" showErrorMessage="0" allowBlank="1" type="list">
      <formula1>'⚙️ Config'!$A$2:$A$9</formula1>
    </dataValidation>
    <dataValidation sqref="L173" showDropDown="0" showInputMessage="0" showErrorMessage="0" allowBlank="1" type="list">
      <formula1>'⚙️ Config'!$C$2:$C$4</formula1>
    </dataValidation>
    <dataValidation sqref="N173" showDropDown="0" showInputMessage="0" showErrorMessage="0" allowBlank="1" type="list">
      <formula1>'⚙️ Config'!$C$2:$C$4</formula1>
    </dataValidation>
    <dataValidation sqref="O173" showDropDown="0" showInputMessage="0" showErrorMessage="0" allowBlank="1" type="list">
      <formula1>'⚙️ Config'!$G$2:$G$7</formula1>
    </dataValidation>
    <dataValidation sqref="B174" showDropDown="0" showInputMessage="0" showErrorMessage="0" allowBlank="1" type="list">
      <formula1>'🛤️ Learning Paths'!$B$4:$B$103</formula1>
    </dataValidation>
    <dataValidation sqref="H174" showDropDown="0" showInputMessage="0" showErrorMessage="0" allowBlank="1" type="list">
      <formula1>'⚙️ Config'!$B$2:$B$6</formula1>
    </dataValidation>
    <dataValidation sqref="J174" showDropDown="0" showInputMessage="0" showErrorMessage="0" allowBlank="1" type="list">
      <formula1>'⚙️ Config'!$A$2:$A$9</formula1>
    </dataValidation>
    <dataValidation sqref="L174" showDropDown="0" showInputMessage="0" showErrorMessage="0" allowBlank="1" type="list">
      <formula1>'⚙️ Config'!$C$2:$C$4</formula1>
    </dataValidation>
    <dataValidation sqref="N174" showDropDown="0" showInputMessage="0" showErrorMessage="0" allowBlank="1" type="list">
      <formula1>'⚙️ Config'!$C$2:$C$4</formula1>
    </dataValidation>
    <dataValidation sqref="O174" showDropDown="0" showInputMessage="0" showErrorMessage="0" allowBlank="1" type="list">
      <formula1>'⚙️ Config'!$G$2:$G$7</formula1>
    </dataValidation>
    <dataValidation sqref="B175" showDropDown="0" showInputMessage="0" showErrorMessage="0" allowBlank="1" type="list">
      <formula1>'🛤️ Learning Paths'!$B$4:$B$103</formula1>
    </dataValidation>
    <dataValidation sqref="H175" showDropDown="0" showInputMessage="0" showErrorMessage="0" allowBlank="1" type="list">
      <formula1>'⚙️ Config'!$B$2:$B$6</formula1>
    </dataValidation>
    <dataValidation sqref="J175" showDropDown="0" showInputMessage="0" showErrorMessage="0" allowBlank="1" type="list">
      <formula1>'⚙️ Config'!$A$2:$A$9</formula1>
    </dataValidation>
    <dataValidation sqref="L175" showDropDown="0" showInputMessage="0" showErrorMessage="0" allowBlank="1" type="list">
      <formula1>'⚙️ Config'!$C$2:$C$4</formula1>
    </dataValidation>
    <dataValidation sqref="N175" showDropDown="0" showInputMessage="0" showErrorMessage="0" allowBlank="1" type="list">
      <formula1>'⚙️ Config'!$C$2:$C$4</formula1>
    </dataValidation>
    <dataValidation sqref="O175" showDropDown="0" showInputMessage="0" showErrorMessage="0" allowBlank="1" type="list">
      <formula1>'⚙️ Config'!$G$2:$G$7</formula1>
    </dataValidation>
    <dataValidation sqref="B176" showDropDown="0" showInputMessage="0" showErrorMessage="0" allowBlank="1" type="list">
      <formula1>'🛤️ Learning Paths'!$B$4:$B$103</formula1>
    </dataValidation>
    <dataValidation sqref="H176" showDropDown="0" showInputMessage="0" showErrorMessage="0" allowBlank="1" type="list">
      <formula1>'⚙️ Config'!$B$2:$B$6</formula1>
    </dataValidation>
    <dataValidation sqref="J176" showDropDown="0" showInputMessage="0" showErrorMessage="0" allowBlank="1" type="list">
      <formula1>'⚙️ Config'!$A$2:$A$9</formula1>
    </dataValidation>
    <dataValidation sqref="L176" showDropDown="0" showInputMessage="0" showErrorMessage="0" allowBlank="1" type="list">
      <formula1>'⚙️ Config'!$C$2:$C$4</formula1>
    </dataValidation>
    <dataValidation sqref="N176" showDropDown="0" showInputMessage="0" showErrorMessage="0" allowBlank="1" type="list">
      <formula1>'⚙️ Config'!$C$2:$C$4</formula1>
    </dataValidation>
    <dataValidation sqref="O176" showDropDown="0" showInputMessage="0" showErrorMessage="0" allowBlank="1" type="list">
      <formula1>'⚙️ Config'!$G$2:$G$7</formula1>
    </dataValidation>
    <dataValidation sqref="B177" showDropDown="0" showInputMessage="0" showErrorMessage="0" allowBlank="1" type="list">
      <formula1>'🛤️ Learning Paths'!$B$4:$B$103</formula1>
    </dataValidation>
    <dataValidation sqref="H177" showDropDown="0" showInputMessage="0" showErrorMessage="0" allowBlank="1" type="list">
      <formula1>'⚙️ Config'!$B$2:$B$6</formula1>
    </dataValidation>
    <dataValidation sqref="J177" showDropDown="0" showInputMessage="0" showErrorMessage="0" allowBlank="1" type="list">
      <formula1>'⚙️ Config'!$A$2:$A$9</formula1>
    </dataValidation>
    <dataValidation sqref="L177" showDropDown="0" showInputMessage="0" showErrorMessage="0" allowBlank="1" type="list">
      <formula1>'⚙️ Config'!$C$2:$C$4</formula1>
    </dataValidation>
    <dataValidation sqref="N177" showDropDown="0" showInputMessage="0" showErrorMessage="0" allowBlank="1" type="list">
      <formula1>'⚙️ Config'!$C$2:$C$4</formula1>
    </dataValidation>
    <dataValidation sqref="O177" showDropDown="0" showInputMessage="0" showErrorMessage="0" allowBlank="1" type="list">
      <formula1>'⚙️ Config'!$G$2:$G$7</formula1>
    </dataValidation>
    <dataValidation sqref="B178" showDropDown="0" showInputMessage="0" showErrorMessage="0" allowBlank="1" type="list">
      <formula1>'🛤️ Learning Paths'!$B$4:$B$103</formula1>
    </dataValidation>
    <dataValidation sqref="H178" showDropDown="0" showInputMessage="0" showErrorMessage="0" allowBlank="1" type="list">
      <formula1>'⚙️ Config'!$B$2:$B$6</formula1>
    </dataValidation>
    <dataValidation sqref="J178" showDropDown="0" showInputMessage="0" showErrorMessage="0" allowBlank="1" type="list">
      <formula1>'⚙️ Config'!$A$2:$A$9</formula1>
    </dataValidation>
    <dataValidation sqref="L178" showDropDown="0" showInputMessage="0" showErrorMessage="0" allowBlank="1" type="list">
      <formula1>'⚙️ Config'!$C$2:$C$4</formula1>
    </dataValidation>
    <dataValidation sqref="N178" showDropDown="0" showInputMessage="0" showErrorMessage="0" allowBlank="1" type="list">
      <formula1>'⚙️ Config'!$C$2:$C$4</formula1>
    </dataValidation>
    <dataValidation sqref="O178" showDropDown="0" showInputMessage="0" showErrorMessage="0" allowBlank="1" type="list">
      <formula1>'⚙️ Config'!$G$2:$G$7</formula1>
    </dataValidation>
    <dataValidation sqref="B179" showDropDown="0" showInputMessage="0" showErrorMessage="0" allowBlank="1" type="list">
      <formula1>'🛤️ Learning Paths'!$B$4:$B$103</formula1>
    </dataValidation>
    <dataValidation sqref="H179" showDropDown="0" showInputMessage="0" showErrorMessage="0" allowBlank="1" type="list">
      <formula1>'⚙️ Config'!$B$2:$B$6</formula1>
    </dataValidation>
    <dataValidation sqref="J179" showDropDown="0" showInputMessage="0" showErrorMessage="0" allowBlank="1" type="list">
      <formula1>'⚙️ Config'!$A$2:$A$9</formula1>
    </dataValidation>
    <dataValidation sqref="L179" showDropDown="0" showInputMessage="0" showErrorMessage="0" allowBlank="1" type="list">
      <formula1>'⚙️ Config'!$C$2:$C$4</formula1>
    </dataValidation>
    <dataValidation sqref="N179" showDropDown="0" showInputMessage="0" showErrorMessage="0" allowBlank="1" type="list">
      <formula1>'⚙️ Config'!$C$2:$C$4</formula1>
    </dataValidation>
    <dataValidation sqref="O179" showDropDown="0" showInputMessage="0" showErrorMessage="0" allowBlank="1" type="list">
      <formula1>'⚙️ Config'!$G$2:$G$7</formula1>
    </dataValidation>
    <dataValidation sqref="B180" showDropDown="0" showInputMessage="0" showErrorMessage="0" allowBlank="1" type="list">
      <formula1>'🛤️ Learning Paths'!$B$4:$B$103</formula1>
    </dataValidation>
    <dataValidation sqref="H180" showDropDown="0" showInputMessage="0" showErrorMessage="0" allowBlank="1" type="list">
      <formula1>'⚙️ Config'!$B$2:$B$6</formula1>
    </dataValidation>
    <dataValidation sqref="J180" showDropDown="0" showInputMessage="0" showErrorMessage="0" allowBlank="1" type="list">
      <formula1>'⚙️ Config'!$A$2:$A$9</formula1>
    </dataValidation>
    <dataValidation sqref="L180" showDropDown="0" showInputMessage="0" showErrorMessage="0" allowBlank="1" type="list">
      <formula1>'⚙️ Config'!$C$2:$C$4</formula1>
    </dataValidation>
    <dataValidation sqref="N180" showDropDown="0" showInputMessage="0" showErrorMessage="0" allowBlank="1" type="list">
      <formula1>'⚙️ Config'!$C$2:$C$4</formula1>
    </dataValidation>
    <dataValidation sqref="O180" showDropDown="0" showInputMessage="0" showErrorMessage="0" allowBlank="1" type="list">
      <formula1>'⚙️ Config'!$G$2:$G$7</formula1>
    </dataValidation>
    <dataValidation sqref="B181" showDropDown="0" showInputMessage="0" showErrorMessage="0" allowBlank="1" type="list">
      <formula1>'🛤️ Learning Paths'!$B$4:$B$103</formula1>
    </dataValidation>
    <dataValidation sqref="H181" showDropDown="0" showInputMessage="0" showErrorMessage="0" allowBlank="1" type="list">
      <formula1>'⚙️ Config'!$B$2:$B$6</formula1>
    </dataValidation>
    <dataValidation sqref="J181" showDropDown="0" showInputMessage="0" showErrorMessage="0" allowBlank="1" type="list">
      <formula1>'⚙️ Config'!$A$2:$A$9</formula1>
    </dataValidation>
    <dataValidation sqref="L181" showDropDown="0" showInputMessage="0" showErrorMessage="0" allowBlank="1" type="list">
      <formula1>'⚙️ Config'!$C$2:$C$4</formula1>
    </dataValidation>
    <dataValidation sqref="N181" showDropDown="0" showInputMessage="0" showErrorMessage="0" allowBlank="1" type="list">
      <formula1>'⚙️ Config'!$C$2:$C$4</formula1>
    </dataValidation>
    <dataValidation sqref="O181" showDropDown="0" showInputMessage="0" showErrorMessage="0" allowBlank="1" type="list">
      <formula1>'⚙️ Config'!$G$2:$G$7</formula1>
    </dataValidation>
    <dataValidation sqref="B182" showDropDown="0" showInputMessage="0" showErrorMessage="0" allowBlank="1" type="list">
      <formula1>'🛤️ Learning Paths'!$B$4:$B$103</formula1>
    </dataValidation>
    <dataValidation sqref="H182" showDropDown="0" showInputMessage="0" showErrorMessage="0" allowBlank="1" type="list">
      <formula1>'⚙️ Config'!$B$2:$B$6</formula1>
    </dataValidation>
    <dataValidation sqref="J182" showDropDown="0" showInputMessage="0" showErrorMessage="0" allowBlank="1" type="list">
      <formula1>'⚙️ Config'!$A$2:$A$9</formula1>
    </dataValidation>
    <dataValidation sqref="L182" showDropDown="0" showInputMessage="0" showErrorMessage="0" allowBlank="1" type="list">
      <formula1>'⚙️ Config'!$C$2:$C$4</formula1>
    </dataValidation>
    <dataValidation sqref="N182" showDropDown="0" showInputMessage="0" showErrorMessage="0" allowBlank="1" type="list">
      <formula1>'⚙️ Config'!$C$2:$C$4</formula1>
    </dataValidation>
    <dataValidation sqref="O182" showDropDown="0" showInputMessage="0" showErrorMessage="0" allowBlank="1" type="list">
      <formula1>'⚙️ Config'!$G$2:$G$7</formula1>
    </dataValidation>
    <dataValidation sqref="B183" showDropDown="0" showInputMessage="0" showErrorMessage="0" allowBlank="1" type="list">
      <formula1>'🛤️ Learning Paths'!$B$4:$B$103</formula1>
    </dataValidation>
    <dataValidation sqref="H183" showDropDown="0" showInputMessage="0" showErrorMessage="0" allowBlank="1" type="list">
      <formula1>'⚙️ Config'!$B$2:$B$6</formula1>
    </dataValidation>
    <dataValidation sqref="J183" showDropDown="0" showInputMessage="0" showErrorMessage="0" allowBlank="1" type="list">
      <formula1>'⚙️ Config'!$A$2:$A$9</formula1>
    </dataValidation>
    <dataValidation sqref="L183" showDropDown="0" showInputMessage="0" showErrorMessage="0" allowBlank="1" type="list">
      <formula1>'⚙️ Config'!$C$2:$C$4</formula1>
    </dataValidation>
    <dataValidation sqref="N183" showDropDown="0" showInputMessage="0" showErrorMessage="0" allowBlank="1" type="list">
      <formula1>'⚙️ Config'!$C$2:$C$4</formula1>
    </dataValidation>
    <dataValidation sqref="O183" showDropDown="0" showInputMessage="0" showErrorMessage="0" allowBlank="1" type="list">
      <formula1>'⚙️ Config'!$G$2:$G$7</formula1>
    </dataValidation>
    <dataValidation sqref="B184" showDropDown="0" showInputMessage="0" showErrorMessage="0" allowBlank="1" type="list">
      <formula1>'🛤️ Learning Paths'!$B$4:$B$103</formula1>
    </dataValidation>
    <dataValidation sqref="H184" showDropDown="0" showInputMessage="0" showErrorMessage="0" allowBlank="1" type="list">
      <formula1>'⚙️ Config'!$B$2:$B$6</formula1>
    </dataValidation>
    <dataValidation sqref="J184" showDropDown="0" showInputMessage="0" showErrorMessage="0" allowBlank="1" type="list">
      <formula1>'⚙️ Config'!$A$2:$A$9</formula1>
    </dataValidation>
    <dataValidation sqref="L184" showDropDown="0" showInputMessage="0" showErrorMessage="0" allowBlank="1" type="list">
      <formula1>'⚙️ Config'!$C$2:$C$4</formula1>
    </dataValidation>
    <dataValidation sqref="N184" showDropDown="0" showInputMessage="0" showErrorMessage="0" allowBlank="1" type="list">
      <formula1>'⚙️ Config'!$C$2:$C$4</formula1>
    </dataValidation>
    <dataValidation sqref="O184" showDropDown="0" showInputMessage="0" showErrorMessage="0" allowBlank="1" type="list">
      <formula1>'⚙️ Config'!$G$2:$G$7</formula1>
    </dataValidation>
    <dataValidation sqref="B185" showDropDown="0" showInputMessage="0" showErrorMessage="0" allowBlank="1" type="list">
      <formula1>'🛤️ Learning Paths'!$B$4:$B$103</formula1>
    </dataValidation>
    <dataValidation sqref="H185" showDropDown="0" showInputMessage="0" showErrorMessage="0" allowBlank="1" type="list">
      <formula1>'⚙️ Config'!$B$2:$B$6</formula1>
    </dataValidation>
    <dataValidation sqref="J185" showDropDown="0" showInputMessage="0" showErrorMessage="0" allowBlank="1" type="list">
      <formula1>'⚙️ Config'!$A$2:$A$9</formula1>
    </dataValidation>
    <dataValidation sqref="L185" showDropDown="0" showInputMessage="0" showErrorMessage="0" allowBlank="1" type="list">
      <formula1>'⚙️ Config'!$C$2:$C$4</formula1>
    </dataValidation>
    <dataValidation sqref="N185" showDropDown="0" showInputMessage="0" showErrorMessage="0" allowBlank="1" type="list">
      <formula1>'⚙️ Config'!$C$2:$C$4</formula1>
    </dataValidation>
    <dataValidation sqref="O185" showDropDown="0" showInputMessage="0" showErrorMessage="0" allowBlank="1" type="list">
      <formula1>'⚙️ Config'!$G$2:$G$7</formula1>
    </dataValidation>
    <dataValidation sqref="B186" showDropDown="0" showInputMessage="0" showErrorMessage="0" allowBlank="1" type="list">
      <formula1>'🛤️ Learning Paths'!$B$4:$B$103</formula1>
    </dataValidation>
    <dataValidation sqref="H186" showDropDown="0" showInputMessage="0" showErrorMessage="0" allowBlank="1" type="list">
      <formula1>'⚙️ Config'!$B$2:$B$6</formula1>
    </dataValidation>
    <dataValidation sqref="J186" showDropDown="0" showInputMessage="0" showErrorMessage="0" allowBlank="1" type="list">
      <formula1>'⚙️ Config'!$A$2:$A$9</formula1>
    </dataValidation>
    <dataValidation sqref="L186" showDropDown="0" showInputMessage="0" showErrorMessage="0" allowBlank="1" type="list">
      <formula1>'⚙️ Config'!$C$2:$C$4</formula1>
    </dataValidation>
    <dataValidation sqref="N186" showDropDown="0" showInputMessage="0" showErrorMessage="0" allowBlank="1" type="list">
      <formula1>'⚙️ Config'!$C$2:$C$4</formula1>
    </dataValidation>
    <dataValidation sqref="O186" showDropDown="0" showInputMessage="0" showErrorMessage="0" allowBlank="1" type="list">
      <formula1>'⚙️ Config'!$G$2:$G$7</formula1>
    </dataValidation>
    <dataValidation sqref="B187" showDropDown="0" showInputMessage="0" showErrorMessage="0" allowBlank="1" type="list">
      <formula1>'🛤️ Learning Paths'!$B$4:$B$103</formula1>
    </dataValidation>
    <dataValidation sqref="H187" showDropDown="0" showInputMessage="0" showErrorMessage="0" allowBlank="1" type="list">
      <formula1>'⚙️ Config'!$B$2:$B$6</formula1>
    </dataValidation>
    <dataValidation sqref="J187" showDropDown="0" showInputMessage="0" showErrorMessage="0" allowBlank="1" type="list">
      <formula1>'⚙️ Config'!$A$2:$A$9</formula1>
    </dataValidation>
    <dataValidation sqref="L187" showDropDown="0" showInputMessage="0" showErrorMessage="0" allowBlank="1" type="list">
      <formula1>'⚙️ Config'!$C$2:$C$4</formula1>
    </dataValidation>
    <dataValidation sqref="N187" showDropDown="0" showInputMessage="0" showErrorMessage="0" allowBlank="1" type="list">
      <formula1>'⚙️ Config'!$C$2:$C$4</formula1>
    </dataValidation>
    <dataValidation sqref="O187" showDropDown="0" showInputMessage="0" showErrorMessage="0" allowBlank="1" type="list">
      <formula1>'⚙️ Config'!$G$2:$G$7</formula1>
    </dataValidation>
    <dataValidation sqref="B188" showDropDown="0" showInputMessage="0" showErrorMessage="0" allowBlank="1" type="list">
      <formula1>'🛤️ Learning Paths'!$B$4:$B$103</formula1>
    </dataValidation>
    <dataValidation sqref="H188" showDropDown="0" showInputMessage="0" showErrorMessage="0" allowBlank="1" type="list">
      <formula1>'⚙️ Config'!$B$2:$B$6</formula1>
    </dataValidation>
    <dataValidation sqref="J188" showDropDown="0" showInputMessage="0" showErrorMessage="0" allowBlank="1" type="list">
      <formula1>'⚙️ Config'!$A$2:$A$9</formula1>
    </dataValidation>
    <dataValidation sqref="L188" showDropDown="0" showInputMessage="0" showErrorMessage="0" allowBlank="1" type="list">
      <formula1>'⚙️ Config'!$C$2:$C$4</formula1>
    </dataValidation>
    <dataValidation sqref="N188" showDropDown="0" showInputMessage="0" showErrorMessage="0" allowBlank="1" type="list">
      <formula1>'⚙️ Config'!$C$2:$C$4</formula1>
    </dataValidation>
    <dataValidation sqref="O188" showDropDown="0" showInputMessage="0" showErrorMessage="0" allowBlank="1" type="list">
      <formula1>'⚙️ Config'!$G$2:$G$7</formula1>
    </dataValidation>
    <dataValidation sqref="B189" showDropDown="0" showInputMessage="0" showErrorMessage="0" allowBlank="1" type="list">
      <formula1>'🛤️ Learning Paths'!$B$4:$B$103</formula1>
    </dataValidation>
    <dataValidation sqref="H189" showDropDown="0" showInputMessage="0" showErrorMessage="0" allowBlank="1" type="list">
      <formula1>'⚙️ Config'!$B$2:$B$6</formula1>
    </dataValidation>
    <dataValidation sqref="J189" showDropDown="0" showInputMessage="0" showErrorMessage="0" allowBlank="1" type="list">
      <formula1>'⚙️ Config'!$A$2:$A$9</formula1>
    </dataValidation>
    <dataValidation sqref="L189" showDropDown="0" showInputMessage="0" showErrorMessage="0" allowBlank="1" type="list">
      <formula1>'⚙️ Config'!$C$2:$C$4</formula1>
    </dataValidation>
    <dataValidation sqref="N189" showDropDown="0" showInputMessage="0" showErrorMessage="0" allowBlank="1" type="list">
      <formula1>'⚙️ Config'!$C$2:$C$4</formula1>
    </dataValidation>
    <dataValidation sqref="O189" showDropDown="0" showInputMessage="0" showErrorMessage="0" allowBlank="1" type="list">
      <formula1>'⚙️ Config'!$G$2:$G$7</formula1>
    </dataValidation>
    <dataValidation sqref="B190" showDropDown="0" showInputMessage="0" showErrorMessage="0" allowBlank="1" type="list">
      <formula1>'🛤️ Learning Paths'!$B$4:$B$103</formula1>
    </dataValidation>
    <dataValidation sqref="H190" showDropDown="0" showInputMessage="0" showErrorMessage="0" allowBlank="1" type="list">
      <formula1>'⚙️ Config'!$B$2:$B$6</formula1>
    </dataValidation>
    <dataValidation sqref="J190" showDropDown="0" showInputMessage="0" showErrorMessage="0" allowBlank="1" type="list">
      <formula1>'⚙️ Config'!$A$2:$A$9</formula1>
    </dataValidation>
    <dataValidation sqref="L190" showDropDown="0" showInputMessage="0" showErrorMessage="0" allowBlank="1" type="list">
      <formula1>'⚙️ Config'!$C$2:$C$4</formula1>
    </dataValidation>
    <dataValidation sqref="N190" showDropDown="0" showInputMessage="0" showErrorMessage="0" allowBlank="1" type="list">
      <formula1>'⚙️ Config'!$C$2:$C$4</formula1>
    </dataValidation>
    <dataValidation sqref="O190" showDropDown="0" showInputMessage="0" showErrorMessage="0" allowBlank="1" type="list">
      <formula1>'⚙️ Config'!$G$2:$G$7</formula1>
    </dataValidation>
    <dataValidation sqref="B191" showDropDown="0" showInputMessage="0" showErrorMessage="0" allowBlank="1" type="list">
      <formula1>'🛤️ Learning Paths'!$B$4:$B$103</formula1>
    </dataValidation>
    <dataValidation sqref="H191" showDropDown="0" showInputMessage="0" showErrorMessage="0" allowBlank="1" type="list">
      <formula1>'⚙️ Config'!$B$2:$B$6</formula1>
    </dataValidation>
    <dataValidation sqref="J191" showDropDown="0" showInputMessage="0" showErrorMessage="0" allowBlank="1" type="list">
      <formula1>'⚙️ Config'!$A$2:$A$9</formula1>
    </dataValidation>
    <dataValidation sqref="L191" showDropDown="0" showInputMessage="0" showErrorMessage="0" allowBlank="1" type="list">
      <formula1>'⚙️ Config'!$C$2:$C$4</formula1>
    </dataValidation>
    <dataValidation sqref="N191" showDropDown="0" showInputMessage="0" showErrorMessage="0" allowBlank="1" type="list">
      <formula1>'⚙️ Config'!$C$2:$C$4</formula1>
    </dataValidation>
    <dataValidation sqref="O191" showDropDown="0" showInputMessage="0" showErrorMessage="0" allowBlank="1" type="list">
      <formula1>'⚙️ Config'!$G$2:$G$7</formula1>
    </dataValidation>
    <dataValidation sqref="B192" showDropDown="0" showInputMessage="0" showErrorMessage="0" allowBlank="1" type="list">
      <formula1>'🛤️ Learning Paths'!$B$4:$B$103</formula1>
    </dataValidation>
    <dataValidation sqref="H192" showDropDown="0" showInputMessage="0" showErrorMessage="0" allowBlank="1" type="list">
      <formula1>'⚙️ Config'!$B$2:$B$6</formula1>
    </dataValidation>
    <dataValidation sqref="J192" showDropDown="0" showInputMessage="0" showErrorMessage="0" allowBlank="1" type="list">
      <formula1>'⚙️ Config'!$A$2:$A$9</formula1>
    </dataValidation>
    <dataValidation sqref="L192" showDropDown="0" showInputMessage="0" showErrorMessage="0" allowBlank="1" type="list">
      <formula1>'⚙️ Config'!$C$2:$C$4</formula1>
    </dataValidation>
    <dataValidation sqref="N192" showDropDown="0" showInputMessage="0" showErrorMessage="0" allowBlank="1" type="list">
      <formula1>'⚙️ Config'!$C$2:$C$4</formula1>
    </dataValidation>
    <dataValidation sqref="O192" showDropDown="0" showInputMessage="0" showErrorMessage="0" allowBlank="1" type="list">
      <formula1>'⚙️ Config'!$G$2:$G$7</formula1>
    </dataValidation>
    <dataValidation sqref="B193" showDropDown="0" showInputMessage="0" showErrorMessage="0" allowBlank="1" type="list">
      <formula1>'🛤️ Learning Paths'!$B$4:$B$103</formula1>
    </dataValidation>
    <dataValidation sqref="H193" showDropDown="0" showInputMessage="0" showErrorMessage="0" allowBlank="1" type="list">
      <formula1>'⚙️ Config'!$B$2:$B$6</formula1>
    </dataValidation>
    <dataValidation sqref="J193" showDropDown="0" showInputMessage="0" showErrorMessage="0" allowBlank="1" type="list">
      <formula1>'⚙️ Config'!$A$2:$A$9</formula1>
    </dataValidation>
    <dataValidation sqref="L193" showDropDown="0" showInputMessage="0" showErrorMessage="0" allowBlank="1" type="list">
      <formula1>'⚙️ Config'!$C$2:$C$4</formula1>
    </dataValidation>
    <dataValidation sqref="N193" showDropDown="0" showInputMessage="0" showErrorMessage="0" allowBlank="1" type="list">
      <formula1>'⚙️ Config'!$C$2:$C$4</formula1>
    </dataValidation>
    <dataValidation sqref="O193" showDropDown="0" showInputMessage="0" showErrorMessage="0" allowBlank="1" type="list">
      <formula1>'⚙️ Config'!$G$2:$G$7</formula1>
    </dataValidation>
    <dataValidation sqref="B194" showDropDown="0" showInputMessage="0" showErrorMessage="0" allowBlank="1" type="list">
      <formula1>'🛤️ Learning Paths'!$B$4:$B$103</formula1>
    </dataValidation>
    <dataValidation sqref="H194" showDropDown="0" showInputMessage="0" showErrorMessage="0" allowBlank="1" type="list">
      <formula1>'⚙️ Config'!$B$2:$B$6</formula1>
    </dataValidation>
    <dataValidation sqref="J194" showDropDown="0" showInputMessage="0" showErrorMessage="0" allowBlank="1" type="list">
      <formula1>'⚙️ Config'!$A$2:$A$9</formula1>
    </dataValidation>
    <dataValidation sqref="L194" showDropDown="0" showInputMessage="0" showErrorMessage="0" allowBlank="1" type="list">
      <formula1>'⚙️ Config'!$C$2:$C$4</formula1>
    </dataValidation>
    <dataValidation sqref="N194" showDropDown="0" showInputMessage="0" showErrorMessage="0" allowBlank="1" type="list">
      <formula1>'⚙️ Config'!$C$2:$C$4</formula1>
    </dataValidation>
    <dataValidation sqref="O194" showDropDown="0" showInputMessage="0" showErrorMessage="0" allowBlank="1" type="list">
      <formula1>'⚙️ Config'!$G$2:$G$7</formula1>
    </dataValidation>
    <dataValidation sqref="B195" showDropDown="0" showInputMessage="0" showErrorMessage="0" allowBlank="1" type="list">
      <formula1>'🛤️ Learning Paths'!$B$4:$B$103</formula1>
    </dataValidation>
    <dataValidation sqref="H195" showDropDown="0" showInputMessage="0" showErrorMessage="0" allowBlank="1" type="list">
      <formula1>'⚙️ Config'!$B$2:$B$6</formula1>
    </dataValidation>
    <dataValidation sqref="J195" showDropDown="0" showInputMessage="0" showErrorMessage="0" allowBlank="1" type="list">
      <formula1>'⚙️ Config'!$A$2:$A$9</formula1>
    </dataValidation>
    <dataValidation sqref="L195" showDropDown="0" showInputMessage="0" showErrorMessage="0" allowBlank="1" type="list">
      <formula1>'⚙️ Config'!$C$2:$C$4</formula1>
    </dataValidation>
    <dataValidation sqref="N195" showDropDown="0" showInputMessage="0" showErrorMessage="0" allowBlank="1" type="list">
      <formula1>'⚙️ Config'!$C$2:$C$4</formula1>
    </dataValidation>
    <dataValidation sqref="O195" showDropDown="0" showInputMessage="0" showErrorMessage="0" allowBlank="1" type="list">
      <formula1>'⚙️ Config'!$G$2:$G$7</formula1>
    </dataValidation>
    <dataValidation sqref="B196" showDropDown="0" showInputMessage="0" showErrorMessage="0" allowBlank="1" type="list">
      <formula1>'🛤️ Learning Paths'!$B$4:$B$103</formula1>
    </dataValidation>
    <dataValidation sqref="H196" showDropDown="0" showInputMessage="0" showErrorMessage="0" allowBlank="1" type="list">
      <formula1>'⚙️ Config'!$B$2:$B$6</formula1>
    </dataValidation>
    <dataValidation sqref="J196" showDropDown="0" showInputMessage="0" showErrorMessage="0" allowBlank="1" type="list">
      <formula1>'⚙️ Config'!$A$2:$A$9</formula1>
    </dataValidation>
    <dataValidation sqref="L196" showDropDown="0" showInputMessage="0" showErrorMessage="0" allowBlank="1" type="list">
      <formula1>'⚙️ Config'!$C$2:$C$4</formula1>
    </dataValidation>
    <dataValidation sqref="N196" showDropDown="0" showInputMessage="0" showErrorMessage="0" allowBlank="1" type="list">
      <formula1>'⚙️ Config'!$C$2:$C$4</formula1>
    </dataValidation>
    <dataValidation sqref="O196" showDropDown="0" showInputMessage="0" showErrorMessage="0" allowBlank="1" type="list">
      <formula1>'⚙️ Config'!$G$2:$G$7</formula1>
    </dataValidation>
    <dataValidation sqref="B197" showDropDown="0" showInputMessage="0" showErrorMessage="0" allowBlank="1" type="list">
      <formula1>'🛤️ Learning Paths'!$B$4:$B$103</formula1>
    </dataValidation>
    <dataValidation sqref="H197" showDropDown="0" showInputMessage="0" showErrorMessage="0" allowBlank="1" type="list">
      <formula1>'⚙️ Config'!$B$2:$B$6</formula1>
    </dataValidation>
    <dataValidation sqref="J197" showDropDown="0" showInputMessage="0" showErrorMessage="0" allowBlank="1" type="list">
      <formula1>'⚙️ Config'!$A$2:$A$9</formula1>
    </dataValidation>
    <dataValidation sqref="L197" showDropDown="0" showInputMessage="0" showErrorMessage="0" allowBlank="1" type="list">
      <formula1>'⚙️ Config'!$C$2:$C$4</formula1>
    </dataValidation>
    <dataValidation sqref="N197" showDropDown="0" showInputMessage="0" showErrorMessage="0" allowBlank="1" type="list">
      <formula1>'⚙️ Config'!$C$2:$C$4</formula1>
    </dataValidation>
    <dataValidation sqref="O197" showDropDown="0" showInputMessage="0" showErrorMessage="0" allowBlank="1" type="list">
      <formula1>'⚙️ Config'!$G$2:$G$7</formula1>
    </dataValidation>
    <dataValidation sqref="B198" showDropDown="0" showInputMessage="0" showErrorMessage="0" allowBlank="1" type="list">
      <formula1>'🛤️ Learning Paths'!$B$4:$B$103</formula1>
    </dataValidation>
    <dataValidation sqref="H198" showDropDown="0" showInputMessage="0" showErrorMessage="0" allowBlank="1" type="list">
      <formula1>'⚙️ Config'!$B$2:$B$6</formula1>
    </dataValidation>
    <dataValidation sqref="J198" showDropDown="0" showInputMessage="0" showErrorMessage="0" allowBlank="1" type="list">
      <formula1>'⚙️ Config'!$A$2:$A$9</formula1>
    </dataValidation>
    <dataValidation sqref="L198" showDropDown="0" showInputMessage="0" showErrorMessage="0" allowBlank="1" type="list">
      <formula1>'⚙️ Config'!$C$2:$C$4</formula1>
    </dataValidation>
    <dataValidation sqref="N198" showDropDown="0" showInputMessage="0" showErrorMessage="0" allowBlank="1" type="list">
      <formula1>'⚙️ Config'!$C$2:$C$4</formula1>
    </dataValidation>
    <dataValidation sqref="O198" showDropDown="0" showInputMessage="0" showErrorMessage="0" allowBlank="1" type="list">
      <formula1>'⚙️ Config'!$G$2:$G$7</formula1>
    </dataValidation>
    <dataValidation sqref="B199" showDropDown="0" showInputMessage="0" showErrorMessage="0" allowBlank="1" type="list">
      <formula1>'🛤️ Learning Paths'!$B$4:$B$103</formula1>
    </dataValidation>
    <dataValidation sqref="H199" showDropDown="0" showInputMessage="0" showErrorMessage="0" allowBlank="1" type="list">
      <formula1>'⚙️ Config'!$B$2:$B$6</formula1>
    </dataValidation>
    <dataValidation sqref="J199" showDropDown="0" showInputMessage="0" showErrorMessage="0" allowBlank="1" type="list">
      <formula1>'⚙️ Config'!$A$2:$A$9</formula1>
    </dataValidation>
    <dataValidation sqref="L199" showDropDown="0" showInputMessage="0" showErrorMessage="0" allowBlank="1" type="list">
      <formula1>'⚙️ Config'!$C$2:$C$4</formula1>
    </dataValidation>
    <dataValidation sqref="N199" showDropDown="0" showInputMessage="0" showErrorMessage="0" allowBlank="1" type="list">
      <formula1>'⚙️ Config'!$C$2:$C$4</formula1>
    </dataValidation>
    <dataValidation sqref="O199" showDropDown="0" showInputMessage="0" showErrorMessage="0" allowBlank="1" type="list">
      <formula1>'⚙️ Config'!$G$2:$G$7</formula1>
    </dataValidation>
    <dataValidation sqref="B200" showDropDown="0" showInputMessage="0" showErrorMessage="0" allowBlank="1" type="list">
      <formula1>'🛤️ Learning Paths'!$B$4:$B$103</formula1>
    </dataValidation>
    <dataValidation sqref="H200" showDropDown="0" showInputMessage="0" showErrorMessage="0" allowBlank="1" type="list">
      <formula1>'⚙️ Config'!$B$2:$B$6</formula1>
    </dataValidation>
    <dataValidation sqref="J200" showDropDown="0" showInputMessage="0" showErrorMessage="0" allowBlank="1" type="list">
      <formula1>'⚙️ Config'!$A$2:$A$9</formula1>
    </dataValidation>
    <dataValidation sqref="L200" showDropDown="0" showInputMessage="0" showErrorMessage="0" allowBlank="1" type="list">
      <formula1>'⚙️ Config'!$C$2:$C$4</formula1>
    </dataValidation>
    <dataValidation sqref="N200" showDropDown="0" showInputMessage="0" showErrorMessage="0" allowBlank="1" type="list">
      <formula1>'⚙️ Config'!$C$2:$C$4</formula1>
    </dataValidation>
    <dataValidation sqref="O200" showDropDown="0" showInputMessage="0" showErrorMessage="0" allowBlank="1" type="list">
      <formula1>'⚙️ Config'!$G$2:$G$7</formula1>
    </dataValidation>
    <dataValidation sqref="B201" showDropDown="0" showInputMessage="0" showErrorMessage="0" allowBlank="1" type="list">
      <formula1>'🛤️ Learning Paths'!$B$4:$B$103</formula1>
    </dataValidation>
    <dataValidation sqref="H201" showDropDown="0" showInputMessage="0" showErrorMessage="0" allowBlank="1" type="list">
      <formula1>'⚙️ Config'!$B$2:$B$6</formula1>
    </dataValidation>
    <dataValidation sqref="J201" showDropDown="0" showInputMessage="0" showErrorMessage="0" allowBlank="1" type="list">
      <formula1>'⚙️ Config'!$A$2:$A$9</formula1>
    </dataValidation>
    <dataValidation sqref="L201" showDropDown="0" showInputMessage="0" showErrorMessage="0" allowBlank="1" type="list">
      <formula1>'⚙️ Config'!$C$2:$C$4</formula1>
    </dataValidation>
    <dataValidation sqref="N201" showDropDown="0" showInputMessage="0" showErrorMessage="0" allowBlank="1" type="list">
      <formula1>'⚙️ Config'!$C$2:$C$4</formula1>
    </dataValidation>
    <dataValidation sqref="O201" showDropDown="0" showInputMessage="0" showErrorMessage="0" allowBlank="1" type="list">
      <formula1>'⚙️ Config'!$G$2:$G$7</formula1>
    </dataValidation>
    <dataValidation sqref="B202" showDropDown="0" showInputMessage="0" showErrorMessage="0" allowBlank="1" type="list">
      <formula1>'🛤️ Learning Paths'!$B$4:$B$103</formula1>
    </dataValidation>
    <dataValidation sqref="H202" showDropDown="0" showInputMessage="0" showErrorMessage="0" allowBlank="1" type="list">
      <formula1>'⚙️ Config'!$B$2:$B$6</formula1>
    </dataValidation>
    <dataValidation sqref="J202" showDropDown="0" showInputMessage="0" showErrorMessage="0" allowBlank="1" type="list">
      <formula1>'⚙️ Config'!$A$2:$A$9</formula1>
    </dataValidation>
    <dataValidation sqref="L202" showDropDown="0" showInputMessage="0" showErrorMessage="0" allowBlank="1" type="list">
      <formula1>'⚙️ Config'!$C$2:$C$4</formula1>
    </dataValidation>
    <dataValidation sqref="N202" showDropDown="0" showInputMessage="0" showErrorMessage="0" allowBlank="1" type="list">
      <formula1>'⚙️ Config'!$C$2:$C$4</formula1>
    </dataValidation>
    <dataValidation sqref="O202" showDropDown="0" showInputMessage="0" showErrorMessage="0" allowBlank="1" type="list">
      <formula1>'⚙️ Config'!$G$2:$G$7</formula1>
    </dataValidation>
    <dataValidation sqref="B203" showDropDown="0" showInputMessage="0" showErrorMessage="0" allowBlank="1" type="list">
      <formula1>'🛤️ Learning Paths'!$B$4:$B$103</formula1>
    </dataValidation>
    <dataValidation sqref="H203" showDropDown="0" showInputMessage="0" showErrorMessage="0" allowBlank="1" type="list">
      <formula1>'⚙️ Config'!$B$2:$B$6</formula1>
    </dataValidation>
    <dataValidation sqref="J203" showDropDown="0" showInputMessage="0" showErrorMessage="0" allowBlank="1" type="list">
      <formula1>'⚙️ Config'!$A$2:$A$9</formula1>
    </dataValidation>
    <dataValidation sqref="L203" showDropDown="0" showInputMessage="0" showErrorMessage="0" allowBlank="1" type="list">
      <formula1>'⚙️ Config'!$C$2:$C$4</formula1>
    </dataValidation>
    <dataValidation sqref="N203" showDropDown="0" showInputMessage="0" showErrorMessage="0" allowBlank="1" type="list">
      <formula1>'⚙️ Config'!$C$2:$C$4</formula1>
    </dataValidation>
    <dataValidation sqref="O203" showDropDown="0" showInputMessage="0" showErrorMessage="0" allowBlank="1" type="list">
      <formula1>'⚙️ Config'!$G$2:$G$7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3" customWidth="1" min="4" max="4"/>
    <col width="16" customWidth="1" min="5" max="5"/>
    <col width="12" customWidth="1" min="6" max="6"/>
    <col width="12" customWidth="1" min="7" max="7"/>
    <col width="13" customWidth="1" min="8" max="8"/>
    <col width="24" customWidth="1" min="9" max="9"/>
  </cols>
  <sheetData>
    <row r="1" ht="36" customHeight="1">
      <c r="A1" s="20" t="inlineStr">
        <is>
          <t>📋  TASKS BY CATEGORY  —  Auto-grouped by Learning Path</t>
        </is>
      </c>
    </row>
    <row r="2" ht="16" customHeight="1">
      <c r="A2" s="21" t="inlineStr">
        <is>
          <t>This view is auto-generated by Apps Script. Click '🔄 Refresh View' to rebuild after adding tasks or paths.</t>
        </is>
      </c>
    </row>
    <row r="3" ht="26" customHeight="1">
      <c r="A3" s="22" t="inlineStr">
        <is>
          <t>🔄  REFRESH VIEW  (Run rebuildCategoryView() in Apps Script or use the button after setup)</t>
        </is>
      </c>
    </row>
    <row r="5" ht="28" customHeight="1">
      <c r="A5" s="23" t="inlineStr">
        <is>
          <t>📌  No data yet. Add learning paths in 🛤️ Learning Paths, add tasks in 📚 Study Log, then click Refresh.</t>
        </is>
      </c>
    </row>
  </sheetData>
  <mergeCells count="4">
    <mergeCell ref="A1:I1"/>
    <mergeCell ref="A5:I5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20" customWidth="1" min="4" max="4"/>
    <col width="18" customWidth="1" min="5" max="5"/>
    <col width="14" customWidth="1" min="6" max="6"/>
    <col width="14" customWidth="1" min="7" max="7"/>
    <col width="10" customWidth="1" min="8" max="8"/>
    <col width="26" customWidth="1" min="9" max="9"/>
  </cols>
  <sheetData>
    <row r="1" ht="36" customHeight="1">
      <c r="A1" s="24" t="inlineStr">
        <is>
          <t>📅  SNS'S TASK SCHEDULER</t>
        </is>
      </c>
    </row>
    <row r="2" ht="16" customHeight="1">
      <c r="A2" s="25" t="inlineStr">
        <is>
          <t>Plan your study sessions. Only non-completed tasks appear in dropdowns. Today panel auto-suggests overdue/due revisions.</t>
        </is>
      </c>
    </row>
    <row r="4" ht="26" customHeight="1">
      <c r="A4" s="26" t="inlineStr">
        <is>
          <t>📌  TODAY</t>
        </is>
      </c>
    </row>
    <row r="5" ht="24" customHeight="1">
      <c r="A5" s="27">
        <f>("📅  " &amp; TEXT(TODAY(),"DDDD, DD MMMM YYYY"))</f>
        <v/>
      </c>
    </row>
    <row r="6" ht="18" customHeight="1">
      <c r="A6" s="28" t="inlineStr">
        <is>
          <t>⚡  Auto-suggested revisions due today (Apps Script fills this)</t>
        </is>
      </c>
    </row>
    <row r="7" ht="28" customHeight="1">
      <c r="A7" s="29" t="inlineStr">
        <is>
          <t>Date</t>
        </is>
      </c>
      <c r="B7" s="29" t="inlineStr">
        <is>
          <t>Day</t>
        </is>
      </c>
      <c r="C7" s="29" t="inlineStr">
        <is>
          <t>Task</t>
        </is>
      </c>
      <c r="D7" s="29" t="inlineStr">
        <is>
          <t>Learning Path</t>
        </is>
      </c>
      <c r="E7" s="29" t="inlineStr">
        <is>
          <t>Session Type</t>
        </is>
      </c>
      <c r="F7" s="29" t="inlineStr">
        <is>
          <t>Planned Mins</t>
        </is>
      </c>
      <c r="G7" s="29" t="inlineStr">
        <is>
          <t>Actual Mins</t>
        </is>
      </c>
      <c r="H7" s="29" t="inlineStr">
        <is>
          <t>Done?</t>
        </is>
      </c>
      <c r="I7" s="29" t="inlineStr">
        <is>
          <t>Notes</t>
        </is>
      </c>
    </row>
    <row r="8" ht="22" customHeight="1">
      <c r="A8" s="30" t="inlineStr">
        <is>
          <t>—  auto  —</t>
        </is>
      </c>
      <c r="B8" s="30" t="n"/>
      <c r="C8" s="30" t="n"/>
      <c r="D8" s="30" t="n"/>
      <c r="E8" s="30" t="n"/>
      <c r="F8" s="30" t="n"/>
      <c r="G8" s="30" t="n"/>
      <c r="H8" s="30" t="n"/>
      <c r="I8" s="30" t="n"/>
    </row>
    <row r="9" ht="22" customHeight="1">
      <c r="A9" s="30" t="inlineStr">
        <is>
          <t>—  auto  —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</row>
    <row r="10" ht="22" customHeight="1">
      <c r="A10" s="30" t="inlineStr">
        <is>
          <t>—  auto  —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</row>
    <row r="11" ht="22" customHeight="1">
      <c r="A11" s="30" t="inlineStr">
        <is>
          <t>—  auto  —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</row>
    <row r="12" ht="22" customHeight="1">
      <c r="A12" s="30" t="inlineStr">
        <is>
          <t>—  auto  —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</row>
    <row r="13" ht="18" customHeight="1">
      <c r="A13" s="31" t="inlineStr">
        <is>
          <t>✏️  Manual slots — add extra tasks for today</t>
        </is>
      </c>
    </row>
    <row r="14" ht="24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24" customHeight="1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</row>
    <row r="16" ht="24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24" customHeight="1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</row>
    <row r="18" ht="24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20" ht="26" customHeight="1">
      <c r="A20" s="26" t="inlineStr">
        <is>
          <t>📆  THIS WEEK</t>
        </is>
      </c>
    </row>
    <row r="21" ht="22" customHeight="1">
      <c r="A21" s="33">
        <f>("Week of: " &amp; TEXT(TODAY()-WEEKDAY(TODAY(),2)+1,"DD MMM") &amp; "  –  " &amp; TEXT(TODAY()-WEEKDAY(TODAY(),2)+7,"DD MMM YYYY"))</f>
        <v/>
      </c>
    </row>
    <row r="22" ht="30" customHeight="1">
      <c r="A22" s="29" t="inlineStr">
        <is>
          <t>Date</t>
        </is>
      </c>
      <c r="B22" s="29" t="inlineStr">
        <is>
          <t>Day</t>
        </is>
      </c>
      <c r="C22" s="29" t="inlineStr">
        <is>
          <t>Task (dropdown)</t>
        </is>
      </c>
      <c r="D22" s="29" t="inlineStr">
        <is>
          <t>Learning Path</t>
        </is>
      </c>
      <c r="E22" s="29" t="inlineStr">
        <is>
          <t>Session Type</t>
        </is>
      </c>
      <c r="F22" s="29" t="inlineStr">
        <is>
          <t>Planned
Mins</t>
        </is>
      </c>
      <c r="G22" s="29" t="inlineStr">
        <is>
          <t>Actual
Mins</t>
        </is>
      </c>
      <c r="H22" s="29" t="inlineStr">
        <is>
          <t>Done?</t>
        </is>
      </c>
      <c r="I22" s="29" t="inlineStr">
        <is>
          <t>Notes</t>
        </is>
      </c>
    </row>
    <row r="23" ht="22" customHeight="1">
      <c r="A23" s="34">
        <f>TEXT(TODAY()-WEEKDAY(TODAY(),2)+1,"DD-MMM")</f>
        <v/>
      </c>
      <c r="B23" s="35" t="inlineStr">
        <is>
          <t>Monday</t>
        </is>
      </c>
      <c r="C23" s="35" t="n"/>
      <c r="D23" s="35" t="n"/>
      <c r="E23" s="35" t="n"/>
      <c r="F23" s="35" t="n"/>
      <c r="G23" s="35" t="n"/>
      <c r="H23" s="35" t="n"/>
      <c r="I23" s="35" t="n"/>
    </row>
    <row r="24" ht="22" customHeight="1">
      <c r="A24" s="36">
        <f>TEXT(TODAY()-WEEKDAY(TODAY(),2)+1,"DD-MMM")</f>
        <v/>
      </c>
      <c r="B24" s="37" t="n"/>
      <c r="C24" s="37" t="n"/>
      <c r="D24" s="37" t="n"/>
      <c r="E24" s="37" t="n"/>
      <c r="F24" s="37" t="n"/>
      <c r="G24" s="37" t="n"/>
      <c r="H24" s="37" t="n"/>
      <c r="I24" s="37" t="n"/>
    </row>
    <row r="25" ht="22" customHeight="1">
      <c r="A25" s="38">
        <f>TEXT(TODAY()-WEEKDAY(TODAY(),2)+1,"DD-MMM")</f>
        <v/>
      </c>
      <c r="B25" s="32" t="n"/>
      <c r="C25" s="32" t="n"/>
      <c r="D25" s="32" t="n"/>
      <c r="E25" s="32" t="n"/>
      <c r="F25" s="32" t="n"/>
      <c r="G25" s="32" t="n"/>
      <c r="H25" s="32" t="n"/>
      <c r="I25" s="32" t="n"/>
    </row>
    <row r="26" ht="22" customHeight="1">
      <c r="A26" s="34">
        <f>TEXT(TODAY()-WEEKDAY(TODAY(),2)+2,"DD-MMM")</f>
        <v/>
      </c>
      <c r="B26" s="35" t="inlineStr">
        <is>
          <t>Tuesday</t>
        </is>
      </c>
      <c r="C26" s="35" t="n"/>
      <c r="D26" s="35" t="n"/>
      <c r="E26" s="35" t="n"/>
      <c r="F26" s="35" t="n"/>
      <c r="G26" s="35" t="n"/>
      <c r="H26" s="35" t="n"/>
      <c r="I26" s="35" t="n"/>
    </row>
    <row r="27" ht="22" customHeight="1">
      <c r="A27" s="36">
        <f>TEXT(TODAY()-WEEKDAY(TODAY(),2)+2,"DD-MMM")</f>
        <v/>
      </c>
      <c r="B27" s="32" t="n"/>
      <c r="C27" s="32" t="n"/>
      <c r="D27" s="32" t="n"/>
      <c r="E27" s="32" t="n"/>
      <c r="F27" s="32" t="n"/>
      <c r="G27" s="32" t="n"/>
      <c r="H27" s="32" t="n"/>
      <c r="I27" s="32" t="n"/>
    </row>
    <row r="28" ht="22" customHeight="1">
      <c r="A28" s="38">
        <f>TEXT(TODAY()-WEEKDAY(TODAY(),2)+2,"DD-MMM")</f>
        <v/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22" customHeight="1">
      <c r="A29" s="34">
        <f>TEXT(TODAY()-WEEKDAY(TODAY(),2)+3,"DD-MMM")</f>
        <v/>
      </c>
      <c r="B29" s="35" t="inlineStr">
        <is>
          <t>Wednesday</t>
        </is>
      </c>
      <c r="C29" s="35" t="n"/>
      <c r="D29" s="35" t="n"/>
      <c r="E29" s="35" t="n"/>
      <c r="F29" s="35" t="n"/>
      <c r="G29" s="35" t="n"/>
      <c r="H29" s="35" t="n"/>
      <c r="I29" s="35" t="n"/>
    </row>
    <row r="30" ht="22" customHeight="1">
      <c r="A30" s="36">
        <f>TEXT(TODAY()-WEEKDAY(TODAY(),2)+3,"DD-MMM")</f>
        <v/>
      </c>
      <c r="B30" s="37" t="n"/>
      <c r="C30" s="37" t="n"/>
      <c r="D30" s="37" t="n"/>
      <c r="E30" s="37" t="n"/>
      <c r="F30" s="37" t="n"/>
      <c r="G30" s="37" t="n"/>
      <c r="H30" s="37" t="n"/>
      <c r="I30" s="37" t="n"/>
    </row>
    <row r="31" ht="22" customHeight="1">
      <c r="A31" s="38">
        <f>TEXT(TODAY()-WEEKDAY(TODAY(),2)+3,"DD-MMM")</f>
        <v/>
      </c>
      <c r="B31" s="32" t="n"/>
      <c r="C31" s="32" t="n"/>
      <c r="D31" s="32" t="n"/>
      <c r="E31" s="32" t="n"/>
      <c r="F31" s="32" t="n"/>
      <c r="G31" s="32" t="n"/>
      <c r="H31" s="32" t="n"/>
      <c r="I31" s="32" t="n"/>
    </row>
    <row r="32" ht="22" customHeight="1">
      <c r="A32" s="34">
        <f>TEXT(TODAY()-WEEKDAY(TODAY(),2)+4,"DD-MMM")</f>
        <v/>
      </c>
      <c r="B32" s="35" t="inlineStr">
        <is>
          <t>Thursday</t>
        </is>
      </c>
      <c r="C32" s="35" t="n"/>
      <c r="D32" s="35" t="n"/>
      <c r="E32" s="35" t="n"/>
      <c r="F32" s="35" t="n"/>
      <c r="G32" s="35" t="n"/>
      <c r="H32" s="35" t="n"/>
      <c r="I32" s="35" t="n"/>
    </row>
    <row r="33" ht="22" customHeight="1">
      <c r="A33" s="36">
        <f>TEXT(TODAY()-WEEKDAY(TODAY(),2)+4,"DD-MMM")</f>
        <v/>
      </c>
      <c r="B33" s="32" t="n"/>
      <c r="C33" s="32" t="n"/>
      <c r="D33" s="32" t="n"/>
      <c r="E33" s="32" t="n"/>
      <c r="F33" s="32" t="n"/>
      <c r="G33" s="32" t="n"/>
      <c r="H33" s="32" t="n"/>
      <c r="I33" s="32" t="n"/>
    </row>
    <row r="34" ht="22" customHeight="1">
      <c r="A34" s="38">
        <f>TEXT(TODAY()-WEEKDAY(TODAY(),2)+4,"DD-MMM")</f>
        <v/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22" customHeight="1">
      <c r="A35" s="34">
        <f>TEXT(TODAY()-WEEKDAY(TODAY(),2)+5,"DD-MMM")</f>
        <v/>
      </c>
      <c r="B35" s="35" t="inlineStr">
        <is>
          <t>Friday</t>
        </is>
      </c>
      <c r="C35" s="35" t="n"/>
      <c r="D35" s="35" t="n"/>
      <c r="E35" s="35" t="n"/>
      <c r="F35" s="35" t="n"/>
      <c r="G35" s="35" t="n"/>
      <c r="H35" s="35" t="n"/>
      <c r="I35" s="35" t="n"/>
    </row>
    <row r="36" ht="22" customHeight="1">
      <c r="A36" s="36">
        <f>TEXT(TODAY()-WEEKDAY(TODAY(),2)+5,"DD-MMM")</f>
        <v/>
      </c>
      <c r="B36" s="37" t="n"/>
      <c r="C36" s="37" t="n"/>
      <c r="D36" s="37" t="n"/>
      <c r="E36" s="37" t="n"/>
      <c r="F36" s="37" t="n"/>
      <c r="G36" s="37" t="n"/>
      <c r="H36" s="37" t="n"/>
      <c r="I36" s="37" t="n"/>
    </row>
    <row r="37" ht="22" customHeight="1">
      <c r="A37" s="38">
        <f>TEXT(TODAY()-WEEKDAY(TODAY(),2)+5,"DD-MMM")</f>
        <v/>
      </c>
      <c r="B37" s="32" t="n"/>
      <c r="C37" s="32" t="n"/>
      <c r="D37" s="32" t="n"/>
      <c r="E37" s="32" t="n"/>
      <c r="F37" s="32" t="n"/>
      <c r="G37" s="32" t="n"/>
      <c r="H37" s="32" t="n"/>
      <c r="I37" s="32" t="n"/>
    </row>
    <row r="38" ht="22" customHeight="1">
      <c r="A38" s="39">
        <f>TEXT(TODAY()-WEEKDAY(TODAY(),2)+6,"DD-MMM")</f>
        <v/>
      </c>
      <c r="B38" s="40" t="inlineStr">
        <is>
          <t>Saturday</t>
        </is>
      </c>
      <c r="C38" s="40" t="n"/>
      <c r="D38" s="40" t="n"/>
      <c r="E38" s="40" t="n"/>
      <c r="F38" s="40" t="n"/>
      <c r="G38" s="40" t="n"/>
      <c r="H38" s="40" t="n"/>
      <c r="I38" s="40" t="n"/>
    </row>
    <row r="39" ht="22" customHeight="1">
      <c r="A39" s="36">
        <f>TEXT(TODAY()-WEEKDAY(TODAY(),2)+6,"DD-MMM")</f>
        <v/>
      </c>
      <c r="B39" s="32" t="n"/>
      <c r="C39" s="32" t="n"/>
      <c r="D39" s="32" t="n"/>
      <c r="E39" s="32" t="n"/>
      <c r="F39" s="32" t="n"/>
      <c r="G39" s="32" t="n"/>
      <c r="H39" s="32" t="n"/>
      <c r="I39" s="32" t="n"/>
    </row>
    <row r="40" ht="22" customHeight="1">
      <c r="A40" s="38">
        <f>TEXT(TODAY()-WEEKDAY(TODAY(),2)+6,"DD-MMM")</f>
        <v/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22" customHeight="1">
      <c r="A41" s="39">
        <f>TEXT(TODAY()-WEEKDAY(TODAY(),2)+7,"DD-MMM")</f>
        <v/>
      </c>
      <c r="B41" s="40" t="inlineStr">
        <is>
          <t>Sunday</t>
        </is>
      </c>
      <c r="C41" s="40" t="n"/>
      <c r="D41" s="40" t="n"/>
      <c r="E41" s="40" t="n"/>
      <c r="F41" s="40" t="n"/>
      <c r="G41" s="40" t="n"/>
      <c r="H41" s="40" t="n"/>
      <c r="I41" s="40" t="n"/>
    </row>
    <row r="42" ht="22" customHeight="1">
      <c r="A42" s="36">
        <f>TEXT(TODAY()-WEEKDAY(TODAY(),2)+7,"DD-MMM")</f>
        <v/>
      </c>
      <c r="B42" s="37" t="n"/>
      <c r="C42" s="37" t="n"/>
      <c r="D42" s="37" t="n"/>
      <c r="E42" s="37" t="n"/>
      <c r="F42" s="37" t="n"/>
      <c r="G42" s="37" t="n"/>
      <c r="H42" s="37" t="n"/>
      <c r="I42" s="37" t="n"/>
    </row>
    <row r="43" ht="22" customHeight="1">
      <c r="A43" s="38">
        <f>TEXT(TODAY()-WEEKDAY(TODAY(),2)+7,"DD-MMM")</f>
        <v/>
      </c>
      <c r="B43" s="32" t="n"/>
      <c r="C43" s="32" t="n"/>
      <c r="D43" s="32" t="n"/>
      <c r="E43" s="32" t="n"/>
      <c r="F43" s="32" t="n"/>
      <c r="G43" s="32" t="n"/>
      <c r="H43" s="32" t="n"/>
      <c r="I43" s="32" t="n"/>
    </row>
  </sheetData>
  <mergeCells count="8">
    <mergeCell ref="A2:I2"/>
    <mergeCell ref="A5:I5"/>
    <mergeCell ref="A13:I13"/>
    <mergeCell ref="A21:D21"/>
    <mergeCell ref="A1:I1"/>
    <mergeCell ref="A6:I6"/>
    <mergeCell ref="A4:I4"/>
    <mergeCell ref="A20:I20"/>
  </mergeCells>
  <conditionalFormatting sqref="A23:I44">
    <cfRule type="expression" priority="1" dxfId="10">
      <formula>$H23="✅ Done"</formula>
    </cfRule>
    <cfRule type="expression" priority="2" dxfId="11">
      <formula>$E23="Day-4 Revision"</formula>
    </cfRule>
    <cfRule type="expression" priority="3" dxfId="12">
      <formula>$E23="Day-7 Revision"</formula>
    </cfRule>
  </conditionalFormatting>
  <dataValidations count="38">
    <dataValidation sqref="E14" showDropDown="0" showInputMessage="0" showErrorMessage="0" allowBlank="1" type="list">
      <formula1>'⚙️ Config'!$D$2:$D$6</formula1>
    </dataValidation>
    <dataValidation sqref="H14" showDropDown="0" showInputMessage="0" showErrorMessage="0" allowBlank="1" type="list">
      <formula1>'⚙️ Config'!$C$2:$C$4</formula1>
    </dataValidation>
    <dataValidation sqref="E15" showDropDown="0" showInputMessage="0" showErrorMessage="0" allowBlank="1" type="list">
      <formula1>'⚙️ Config'!$D$2:$D$6</formula1>
    </dataValidation>
    <dataValidation sqref="H15" showDropDown="0" showInputMessage="0" showErrorMessage="0" allowBlank="1" type="list">
      <formula1>'⚙️ Config'!$C$2:$C$4</formula1>
    </dataValidation>
    <dataValidation sqref="E16" showDropDown="0" showInputMessage="0" showErrorMessage="0" allowBlank="1" type="list">
      <formula1>'⚙️ Config'!$D$2:$D$6</formula1>
    </dataValidation>
    <dataValidation sqref="H16" showDropDown="0" showInputMessage="0" showErrorMessage="0" allowBlank="1" type="list">
      <formula1>'⚙️ Config'!$C$2:$C$4</formula1>
    </dataValidation>
    <dataValidation sqref="E17" showDropDown="0" showInputMessage="0" showErrorMessage="0" allowBlank="1" type="list">
      <formula1>'⚙️ Config'!$D$2:$D$6</formula1>
    </dataValidation>
    <dataValidation sqref="H17" showDropDown="0" showInputMessage="0" showErrorMessage="0" allowBlank="1" type="list">
      <formula1>'⚙️ Config'!$C$2:$C$4</formula1>
    </dataValidation>
    <dataValidation sqref="E18" showDropDown="0" showInputMessage="0" showErrorMessage="0" allowBlank="1" type="list">
      <formula1>'⚙️ Config'!$D$2:$D$6</formula1>
    </dataValidation>
    <dataValidation sqref="H18" showDropDown="0" showInputMessage="0" showErrorMessage="0" allowBlank="1" type="list">
      <formula1>'⚙️ Config'!$C$2:$C$4</formula1>
    </dataValidation>
    <dataValidation sqref="E24" showDropDown="0" showInputMessage="0" showErrorMessage="0" allowBlank="1" type="list">
      <formula1>'⚙️ Config'!$D$2:$D$6</formula1>
    </dataValidation>
    <dataValidation sqref="H24" showDropDown="0" showInputMessage="0" showErrorMessage="0" allowBlank="1" type="list">
      <formula1>'⚙️ Config'!$C$2:$C$4</formula1>
    </dataValidation>
    <dataValidation sqref="E25" showDropDown="0" showInputMessage="0" showErrorMessage="0" allowBlank="1" type="list">
      <formula1>'⚙️ Config'!$D$2:$D$6</formula1>
    </dataValidation>
    <dataValidation sqref="H25" showDropDown="0" showInputMessage="0" showErrorMessage="0" allowBlank="1" type="list">
      <formula1>'⚙️ Config'!$C$2:$C$4</formula1>
    </dataValidation>
    <dataValidation sqref="E27" showDropDown="0" showInputMessage="0" showErrorMessage="0" allowBlank="1" type="list">
      <formula1>'⚙️ Config'!$D$2:$D$6</formula1>
    </dataValidation>
    <dataValidation sqref="H27" showDropDown="0" showInputMessage="0" showErrorMessage="0" allowBlank="1" type="list">
      <formula1>'⚙️ Config'!$C$2:$C$4</formula1>
    </dataValidation>
    <dataValidation sqref="E28" showDropDown="0" showInputMessage="0" showErrorMessage="0" allowBlank="1" type="list">
      <formula1>'⚙️ Config'!$D$2:$D$6</formula1>
    </dataValidation>
    <dataValidation sqref="H28" showDropDown="0" showInputMessage="0" showErrorMessage="0" allowBlank="1" type="list">
      <formula1>'⚙️ Config'!$C$2:$C$4</formula1>
    </dataValidation>
    <dataValidation sqref="E30" showDropDown="0" showInputMessage="0" showErrorMessage="0" allowBlank="1" type="list">
      <formula1>'⚙️ Config'!$D$2:$D$6</formula1>
    </dataValidation>
    <dataValidation sqref="H30" showDropDown="0" showInputMessage="0" showErrorMessage="0" allowBlank="1" type="list">
      <formula1>'⚙️ Config'!$C$2:$C$4</formula1>
    </dataValidation>
    <dataValidation sqref="E31" showDropDown="0" showInputMessage="0" showErrorMessage="0" allowBlank="1" type="list">
      <formula1>'⚙️ Config'!$D$2:$D$6</formula1>
    </dataValidation>
    <dataValidation sqref="H31" showDropDown="0" showInputMessage="0" showErrorMessage="0" allowBlank="1" type="list">
      <formula1>'⚙️ Config'!$C$2:$C$4</formula1>
    </dataValidation>
    <dataValidation sqref="E33" showDropDown="0" showInputMessage="0" showErrorMessage="0" allowBlank="1" type="list">
      <formula1>'⚙️ Config'!$D$2:$D$6</formula1>
    </dataValidation>
    <dataValidation sqref="H33" showDropDown="0" showInputMessage="0" showErrorMessage="0" allowBlank="1" type="list">
      <formula1>'⚙️ Config'!$C$2:$C$4</formula1>
    </dataValidation>
    <dataValidation sqref="E34" showDropDown="0" showInputMessage="0" showErrorMessage="0" allowBlank="1" type="list">
      <formula1>'⚙️ Config'!$D$2:$D$6</formula1>
    </dataValidation>
    <dataValidation sqref="H34" showDropDown="0" showInputMessage="0" showErrorMessage="0" allowBlank="1" type="list">
      <formula1>'⚙️ Config'!$C$2:$C$4</formula1>
    </dataValidation>
    <dataValidation sqref="E36" showDropDown="0" showInputMessage="0" showErrorMessage="0" allowBlank="1" type="list">
      <formula1>'⚙️ Config'!$D$2:$D$6</formula1>
    </dataValidation>
    <dataValidation sqref="H36" showDropDown="0" showInputMessage="0" showErrorMessage="0" allowBlank="1" type="list">
      <formula1>'⚙️ Config'!$C$2:$C$4</formula1>
    </dataValidation>
    <dataValidation sqref="E37" showDropDown="0" showInputMessage="0" showErrorMessage="0" allowBlank="1" type="list">
      <formula1>'⚙️ Config'!$D$2:$D$6</formula1>
    </dataValidation>
    <dataValidation sqref="H37" showDropDown="0" showInputMessage="0" showErrorMessage="0" allowBlank="1" type="list">
      <formula1>'⚙️ Config'!$C$2:$C$4</formula1>
    </dataValidation>
    <dataValidation sqref="E39" showDropDown="0" showInputMessage="0" showErrorMessage="0" allowBlank="1" type="list">
      <formula1>'⚙️ Config'!$D$2:$D$6</formula1>
    </dataValidation>
    <dataValidation sqref="H39" showDropDown="0" showInputMessage="0" showErrorMessage="0" allowBlank="1" type="list">
      <formula1>'⚙️ Config'!$C$2:$C$4</formula1>
    </dataValidation>
    <dataValidation sqref="E40" showDropDown="0" showInputMessage="0" showErrorMessage="0" allowBlank="1" type="list">
      <formula1>'⚙️ Config'!$D$2:$D$6</formula1>
    </dataValidation>
    <dataValidation sqref="H40" showDropDown="0" showInputMessage="0" showErrorMessage="0" allowBlank="1" type="list">
      <formula1>'⚙️ Config'!$C$2:$C$4</formula1>
    </dataValidation>
    <dataValidation sqref="E42" showDropDown="0" showInputMessage="0" showErrorMessage="0" allowBlank="1" type="list">
      <formula1>'⚙️ Config'!$D$2:$D$6</formula1>
    </dataValidation>
    <dataValidation sqref="H42" showDropDown="0" showInputMessage="0" showErrorMessage="0" allowBlank="1" type="list">
      <formula1>'⚙️ Config'!$C$2:$C$4</formula1>
    </dataValidation>
    <dataValidation sqref="E43" showDropDown="0" showInputMessage="0" showErrorMessage="0" allowBlank="1" type="list">
      <formula1>'⚙️ Config'!$D$2:$D$6</formula1>
    </dataValidation>
    <dataValidation sqref="H43" showDropDown="0" showInputMessage="0" showErrorMessage="0" allowBlank="1" type="list">
      <formula1>'⚙️ Config'!$C$2:$C$4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41" t="inlineStr">
        <is>
          <t>📊  SNS'S PROGRESS &amp; CHARTS</t>
        </is>
      </c>
    </row>
    <row r="2" ht="16" customHeight="1">
      <c r="A2" s="42" t="inlineStr">
        <is>
          <t>Overall stats update live. Path cards + doughnut charts are built by Apps Script. Click '🔄 Rebuild Charts' after adding paths.</t>
        </is>
      </c>
    </row>
    <row r="4" ht="26" customHeight="1">
      <c r="A4" s="43" t="inlineStr">
        <is>
          <t>📈  OVERALL STATS</t>
        </is>
      </c>
    </row>
    <row r="5" ht="20" customHeight="1">
      <c r="A5" s="44" t="inlineStr">
        <is>
          <t>Total Paths</t>
        </is>
      </c>
      <c r="B5" s="44" t="inlineStr">
        <is>
          <t>Active Paths</t>
        </is>
      </c>
      <c r="C5" s="44" t="inlineStr">
        <is>
          <t>Total Tasks</t>
        </is>
      </c>
      <c r="D5" s="44" t="inlineStr">
        <is>
          <t>Completed</t>
        </is>
      </c>
      <c r="E5" s="44" t="inlineStr">
        <is>
          <t>Mastered</t>
        </is>
      </c>
      <c r="F5" s="44" t="inlineStr">
        <is>
          <t>Due Today</t>
        </is>
      </c>
      <c r="G5" s="44" t="inlineStr">
        <is>
          <t>Overdue</t>
        </is>
      </c>
      <c r="H5" s="44" t="inlineStr">
        <is>
          <t>On Hold</t>
        </is>
      </c>
    </row>
    <row r="6" ht="32" customHeight="1">
      <c r="A6" s="45">
        <f>COUNTA('🛤️ Learning Paths'!B4:B103)</f>
        <v/>
      </c>
      <c r="B6" s="46">
        <f>COUNTIF('🛤️ Learning Paths'!J4:J103,"In Progress")</f>
        <v/>
      </c>
      <c r="C6" s="45">
        <f>COUNTA('📚 Study Log'!C4:C203)</f>
        <v/>
      </c>
      <c r="D6" s="47">
        <f>COUNTIF('📚 Study Log'!H4:H203,"Completed")</f>
        <v/>
      </c>
      <c r="E6" s="48">
        <f>COUNTIFS('📚 Study Log'!L4:L203,"✅ Done",'📚 Study Log'!N4:N203,"✅ Done")</f>
        <v/>
      </c>
      <c r="F6" s="49">
        <f>COUNTIFS('📚 Study Log'!K4:K203,TODAY(),'📚 Study Log'!L4:L203,"&lt;&gt;✅ Done")</f>
        <v/>
      </c>
      <c r="G6" s="50">
        <f>COUNTIFS('📚 Study Log'!K4:K203,"&lt;"&amp;TODAY(),'📚 Study Log'!L4:L203,"&lt;&gt;✅ Done",'📚 Study Log'!K4:K203,"&lt;&gt;"")</f>
        <v/>
      </c>
      <c r="H6" s="51">
        <f>COUNTIF('📚 Study Log'!H4:H203,"On Hold")</f>
        <v/>
      </c>
    </row>
    <row r="8" ht="26" customHeight="1">
      <c r="A8" s="22" t="inlineStr">
        <is>
          <t>🔄  PATH CARDS &amp; DOUGHNUT CHARTS  —  Click Rebuild Charts to generate</t>
        </is>
      </c>
    </row>
    <row r="9" ht="28" customHeight="1">
      <c r="A9" s="52" t="inlineStr">
        <is>
          <t>One card + doughnut chart per learning path is auto-built by Apps Script. Charts update live once created. Run rebuildProgressCharts() from Extensions → Apps Script.</t>
        </is>
      </c>
    </row>
  </sheetData>
  <mergeCells count="5">
    <mergeCell ref="A9:H9"/>
    <mergeCell ref="A4:H4"/>
    <mergeCell ref="A2:H2"/>
    <mergeCell ref="A1:H1"/>
    <mergeCell ref="A8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44" customWidth="1" min="4" max="4"/>
    <col width="22" customWidth="1" min="5" max="5"/>
    <col width="24" customWidth="1" min="6" max="6"/>
    <col width="12" customWidth="1" min="7" max="7"/>
    <col width="26" customWidth="1" min="8" max="8"/>
  </cols>
  <sheetData>
    <row r="1" ht="36" customHeight="1">
      <c r="A1" s="20" t="inlineStr">
        <is>
          <t>🔗  RESOURCE LIBRARY</t>
        </is>
      </c>
    </row>
    <row r="2" ht="16" customHeight="1">
      <c r="A2" s="21" t="inlineStr">
        <is>
          <t>Catalog all resources. Link to a Learning Path to surface them in Tasks by Category.</t>
        </is>
      </c>
    </row>
    <row r="3" ht="32" customHeight="1">
      <c r="A3" s="53" t="inlineStr">
        <is>
          <t>#</t>
        </is>
      </c>
      <c r="B3" s="53" t="inlineStr">
        <is>
          <t>Resource Title</t>
        </is>
      </c>
      <c r="C3" s="53" t="inlineStr">
        <is>
          <t>Type</t>
        </is>
      </c>
      <c r="D3" s="53" t="inlineStr">
        <is>
          <t>URL / Location</t>
        </is>
      </c>
      <c r="E3" s="53" t="inlineStr">
        <is>
          <t>Learning Path</t>
        </is>
      </c>
      <c r="F3" s="53" t="inlineStr">
        <is>
          <t>Related Topic</t>
        </is>
      </c>
      <c r="G3" s="53" t="inlineStr">
        <is>
          <t>Quality ⭐</t>
        </is>
      </c>
      <c r="H3" s="53" t="inlineStr">
        <is>
          <t>Notes</t>
        </is>
      </c>
    </row>
    <row r="4" ht="24" customHeight="1">
      <c r="A4" s="4" t="n">
        <v>1</v>
      </c>
      <c r="B4" s="5" t="n"/>
      <c r="C4" s="4" t="n"/>
      <c r="D4" s="5" t="n"/>
      <c r="E4" s="4" t="n"/>
      <c r="F4" s="5" t="n"/>
      <c r="G4" s="4" t="n"/>
      <c r="H4" s="5" t="n"/>
    </row>
    <row r="5" ht="24" customHeight="1">
      <c r="A5" s="54" t="n">
        <v>2</v>
      </c>
      <c r="B5" s="55" t="n"/>
      <c r="C5" s="54" t="n"/>
      <c r="D5" s="55" t="n"/>
      <c r="E5" s="54" t="n"/>
      <c r="F5" s="55" t="n"/>
      <c r="G5" s="54" t="n"/>
      <c r="H5" s="55" t="n"/>
    </row>
    <row r="6" ht="24" customHeight="1">
      <c r="A6" s="4" t="n">
        <v>3</v>
      </c>
      <c r="B6" s="5" t="n"/>
      <c r="C6" s="4" t="n"/>
      <c r="D6" s="5" t="n"/>
      <c r="E6" s="4" t="n"/>
      <c r="F6" s="5" t="n"/>
      <c r="G6" s="4" t="n"/>
      <c r="H6" s="5" t="n"/>
    </row>
    <row r="7" ht="24" customHeight="1">
      <c r="A7" s="54" t="n">
        <v>4</v>
      </c>
      <c r="B7" s="55" t="n"/>
      <c r="C7" s="54" t="n"/>
      <c r="D7" s="55" t="n"/>
      <c r="E7" s="54" t="n"/>
      <c r="F7" s="55" t="n"/>
      <c r="G7" s="54" t="n"/>
      <c r="H7" s="55" t="n"/>
    </row>
    <row r="8" ht="24" customHeight="1">
      <c r="A8" s="4" t="n">
        <v>5</v>
      </c>
      <c r="B8" s="5" t="n"/>
      <c r="C8" s="4" t="n"/>
      <c r="D8" s="5" t="n"/>
      <c r="E8" s="4" t="n"/>
      <c r="F8" s="5" t="n"/>
      <c r="G8" s="4" t="n"/>
      <c r="H8" s="5" t="n"/>
    </row>
    <row r="9" ht="24" customHeight="1">
      <c r="A9" s="54" t="n">
        <v>6</v>
      </c>
      <c r="B9" s="55" t="n"/>
      <c r="C9" s="54" t="n"/>
      <c r="D9" s="55" t="n"/>
      <c r="E9" s="54" t="n"/>
      <c r="F9" s="55" t="n"/>
      <c r="G9" s="54" t="n"/>
      <c r="H9" s="55" t="n"/>
    </row>
    <row r="10" ht="24" customHeight="1">
      <c r="A10" s="4" t="n">
        <v>7</v>
      </c>
      <c r="B10" s="5" t="n"/>
      <c r="C10" s="4" t="n"/>
      <c r="D10" s="5" t="n"/>
      <c r="E10" s="4" t="n"/>
      <c r="F10" s="5" t="n"/>
      <c r="G10" s="4" t="n"/>
      <c r="H10" s="5" t="n"/>
    </row>
    <row r="11" ht="24" customHeight="1">
      <c r="A11" s="54" t="n">
        <v>8</v>
      </c>
      <c r="B11" s="55" t="n"/>
      <c r="C11" s="54" t="n"/>
      <c r="D11" s="55" t="n"/>
      <c r="E11" s="54" t="n"/>
      <c r="F11" s="55" t="n"/>
      <c r="G11" s="54" t="n"/>
      <c r="H11" s="55" t="n"/>
    </row>
    <row r="12" ht="24" customHeight="1">
      <c r="A12" s="4" t="n">
        <v>9</v>
      </c>
      <c r="B12" s="5" t="n"/>
      <c r="C12" s="4" t="n"/>
      <c r="D12" s="5" t="n"/>
      <c r="E12" s="4" t="n"/>
      <c r="F12" s="5" t="n"/>
      <c r="G12" s="4" t="n"/>
      <c r="H12" s="5" t="n"/>
    </row>
    <row r="13" ht="24" customHeight="1">
      <c r="A13" s="54" t="n">
        <v>10</v>
      </c>
      <c r="B13" s="55" t="n"/>
      <c r="C13" s="54" t="n"/>
      <c r="D13" s="55" t="n"/>
      <c r="E13" s="54" t="n"/>
      <c r="F13" s="55" t="n"/>
      <c r="G13" s="54" t="n"/>
      <c r="H13" s="55" t="n"/>
    </row>
    <row r="14" ht="24" customHeight="1">
      <c r="A14" s="4" t="n">
        <v>11</v>
      </c>
      <c r="B14" s="5" t="n"/>
      <c r="C14" s="4" t="n"/>
      <c r="D14" s="5" t="n"/>
      <c r="E14" s="4" t="n"/>
      <c r="F14" s="5" t="n"/>
      <c r="G14" s="4" t="n"/>
      <c r="H14" s="5" t="n"/>
    </row>
    <row r="15" ht="24" customHeight="1">
      <c r="A15" s="54" t="n">
        <v>12</v>
      </c>
      <c r="B15" s="55" t="n"/>
      <c r="C15" s="54" t="n"/>
      <c r="D15" s="55" t="n"/>
      <c r="E15" s="54" t="n"/>
      <c r="F15" s="55" t="n"/>
      <c r="G15" s="54" t="n"/>
      <c r="H15" s="55" t="n"/>
    </row>
    <row r="16" ht="24" customHeight="1">
      <c r="A16" s="4" t="n">
        <v>13</v>
      </c>
      <c r="B16" s="5" t="n"/>
      <c r="C16" s="4" t="n"/>
      <c r="D16" s="5" t="n"/>
      <c r="E16" s="4" t="n"/>
      <c r="F16" s="5" t="n"/>
      <c r="G16" s="4" t="n"/>
      <c r="H16" s="5" t="n"/>
    </row>
    <row r="17" ht="24" customHeight="1">
      <c r="A17" s="54" t="n">
        <v>14</v>
      </c>
      <c r="B17" s="55" t="n"/>
      <c r="C17" s="54" t="n"/>
      <c r="D17" s="55" t="n"/>
      <c r="E17" s="54" t="n"/>
      <c r="F17" s="55" t="n"/>
      <c r="G17" s="54" t="n"/>
      <c r="H17" s="55" t="n"/>
    </row>
    <row r="18" ht="24" customHeight="1">
      <c r="A18" s="4" t="n">
        <v>15</v>
      </c>
      <c r="B18" s="5" t="n"/>
      <c r="C18" s="4" t="n"/>
      <c r="D18" s="5" t="n"/>
      <c r="E18" s="4" t="n"/>
      <c r="F18" s="5" t="n"/>
      <c r="G18" s="4" t="n"/>
      <c r="H18" s="5" t="n"/>
    </row>
    <row r="19" ht="24" customHeight="1">
      <c r="A19" s="54" t="n">
        <v>16</v>
      </c>
      <c r="B19" s="55" t="n"/>
      <c r="C19" s="54" t="n"/>
      <c r="D19" s="55" t="n"/>
      <c r="E19" s="54" t="n"/>
      <c r="F19" s="55" t="n"/>
      <c r="G19" s="54" t="n"/>
      <c r="H19" s="55" t="n"/>
    </row>
    <row r="20" ht="24" customHeight="1">
      <c r="A20" s="4" t="n">
        <v>17</v>
      </c>
      <c r="B20" s="5" t="n"/>
      <c r="C20" s="4" t="n"/>
      <c r="D20" s="5" t="n"/>
      <c r="E20" s="4" t="n"/>
      <c r="F20" s="5" t="n"/>
      <c r="G20" s="4" t="n"/>
      <c r="H20" s="5" t="n"/>
    </row>
    <row r="21" ht="24" customHeight="1">
      <c r="A21" s="54" t="n">
        <v>18</v>
      </c>
      <c r="B21" s="55" t="n"/>
      <c r="C21" s="54" t="n"/>
      <c r="D21" s="55" t="n"/>
      <c r="E21" s="54" t="n"/>
      <c r="F21" s="55" t="n"/>
      <c r="G21" s="54" t="n"/>
      <c r="H21" s="55" t="n"/>
    </row>
    <row r="22" ht="24" customHeight="1">
      <c r="A22" s="4" t="n">
        <v>19</v>
      </c>
      <c r="B22" s="5" t="n"/>
      <c r="C22" s="4" t="n"/>
      <c r="D22" s="5" t="n"/>
      <c r="E22" s="4" t="n"/>
      <c r="F22" s="5" t="n"/>
      <c r="G22" s="4" t="n"/>
      <c r="H22" s="5" t="n"/>
    </row>
    <row r="23" ht="24" customHeight="1">
      <c r="A23" s="54" t="n">
        <v>20</v>
      </c>
      <c r="B23" s="55" t="n"/>
      <c r="C23" s="54" t="n"/>
      <c r="D23" s="55" t="n"/>
      <c r="E23" s="54" t="n"/>
      <c r="F23" s="55" t="n"/>
      <c r="G23" s="54" t="n"/>
      <c r="H23" s="55" t="n"/>
    </row>
    <row r="24" ht="24" customHeight="1">
      <c r="A24" s="4" t="n">
        <v>21</v>
      </c>
      <c r="B24" s="5" t="n"/>
      <c r="C24" s="4" t="n"/>
      <c r="D24" s="5" t="n"/>
      <c r="E24" s="4" t="n"/>
      <c r="F24" s="5" t="n"/>
      <c r="G24" s="4" t="n"/>
      <c r="H24" s="5" t="n"/>
    </row>
    <row r="25" ht="24" customHeight="1">
      <c r="A25" s="54" t="n">
        <v>22</v>
      </c>
      <c r="B25" s="55" t="n"/>
      <c r="C25" s="54" t="n"/>
      <c r="D25" s="55" t="n"/>
      <c r="E25" s="54" t="n"/>
      <c r="F25" s="55" t="n"/>
      <c r="G25" s="54" t="n"/>
      <c r="H25" s="55" t="n"/>
    </row>
    <row r="26" ht="24" customHeight="1">
      <c r="A26" s="4" t="n">
        <v>23</v>
      </c>
      <c r="B26" s="5" t="n"/>
      <c r="C26" s="4" t="n"/>
      <c r="D26" s="5" t="n"/>
      <c r="E26" s="4" t="n"/>
      <c r="F26" s="5" t="n"/>
      <c r="G26" s="4" t="n"/>
      <c r="H26" s="5" t="n"/>
    </row>
    <row r="27" ht="24" customHeight="1">
      <c r="A27" s="54" t="n">
        <v>24</v>
      </c>
      <c r="B27" s="55" t="n"/>
      <c r="C27" s="54" t="n"/>
      <c r="D27" s="55" t="n"/>
      <c r="E27" s="54" t="n"/>
      <c r="F27" s="55" t="n"/>
      <c r="G27" s="54" t="n"/>
      <c r="H27" s="55" t="n"/>
    </row>
    <row r="28" ht="24" customHeight="1">
      <c r="A28" s="4" t="n">
        <v>25</v>
      </c>
      <c r="B28" s="5" t="n"/>
      <c r="C28" s="4" t="n"/>
      <c r="D28" s="5" t="n"/>
      <c r="E28" s="4" t="n"/>
      <c r="F28" s="5" t="n"/>
      <c r="G28" s="4" t="n"/>
      <c r="H28" s="5" t="n"/>
    </row>
    <row r="29" ht="24" customHeight="1">
      <c r="A29" s="54" t="n">
        <v>26</v>
      </c>
      <c r="B29" s="55" t="n"/>
      <c r="C29" s="54" t="n"/>
      <c r="D29" s="55" t="n"/>
      <c r="E29" s="54" t="n"/>
      <c r="F29" s="55" t="n"/>
      <c r="G29" s="54" t="n"/>
      <c r="H29" s="55" t="n"/>
    </row>
    <row r="30" ht="24" customHeight="1">
      <c r="A30" s="4" t="n">
        <v>27</v>
      </c>
      <c r="B30" s="5" t="n"/>
      <c r="C30" s="4" t="n"/>
      <c r="D30" s="5" t="n"/>
      <c r="E30" s="4" t="n"/>
      <c r="F30" s="5" t="n"/>
      <c r="G30" s="4" t="n"/>
      <c r="H30" s="5" t="n"/>
    </row>
    <row r="31" ht="24" customHeight="1">
      <c r="A31" s="54" t="n">
        <v>28</v>
      </c>
      <c r="B31" s="55" t="n"/>
      <c r="C31" s="54" t="n"/>
      <c r="D31" s="55" t="n"/>
      <c r="E31" s="54" t="n"/>
      <c r="F31" s="55" t="n"/>
      <c r="G31" s="54" t="n"/>
      <c r="H31" s="55" t="n"/>
    </row>
    <row r="32" ht="24" customHeight="1">
      <c r="A32" s="4" t="n">
        <v>29</v>
      </c>
      <c r="B32" s="5" t="n"/>
      <c r="C32" s="4" t="n"/>
      <c r="D32" s="5" t="n"/>
      <c r="E32" s="4" t="n"/>
      <c r="F32" s="5" t="n"/>
      <c r="G32" s="4" t="n"/>
      <c r="H32" s="5" t="n"/>
    </row>
    <row r="33" ht="24" customHeight="1">
      <c r="A33" s="54" t="n">
        <v>30</v>
      </c>
      <c r="B33" s="55" t="n"/>
      <c r="C33" s="54" t="n"/>
      <c r="D33" s="55" t="n"/>
      <c r="E33" s="54" t="n"/>
      <c r="F33" s="55" t="n"/>
      <c r="G33" s="54" t="n"/>
      <c r="H33" s="55" t="n"/>
    </row>
    <row r="34" ht="24" customHeight="1">
      <c r="A34" s="4" t="n">
        <v>31</v>
      </c>
      <c r="B34" s="5" t="n"/>
      <c r="C34" s="4" t="n"/>
      <c r="D34" s="5" t="n"/>
      <c r="E34" s="4" t="n"/>
      <c r="F34" s="5" t="n"/>
      <c r="G34" s="4" t="n"/>
      <c r="H34" s="5" t="n"/>
    </row>
    <row r="35" ht="24" customHeight="1">
      <c r="A35" s="54" t="n">
        <v>32</v>
      </c>
      <c r="B35" s="55" t="n"/>
      <c r="C35" s="54" t="n"/>
      <c r="D35" s="55" t="n"/>
      <c r="E35" s="54" t="n"/>
      <c r="F35" s="55" t="n"/>
      <c r="G35" s="54" t="n"/>
      <c r="H35" s="55" t="n"/>
    </row>
    <row r="36" ht="24" customHeight="1">
      <c r="A36" s="4" t="n">
        <v>33</v>
      </c>
      <c r="B36" s="5" t="n"/>
      <c r="C36" s="4" t="n"/>
      <c r="D36" s="5" t="n"/>
      <c r="E36" s="4" t="n"/>
      <c r="F36" s="5" t="n"/>
      <c r="G36" s="4" t="n"/>
      <c r="H36" s="5" t="n"/>
    </row>
    <row r="37" ht="24" customHeight="1">
      <c r="A37" s="54" t="n">
        <v>34</v>
      </c>
      <c r="B37" s="55" t="n"/>
      <c r="C37" s="54" t="n"/>
      <c r="D37" s="55" t="n"/>
      <c r="E37" s="54" t="n"/>
      <c r="F37" s="55" t="n"/>
      <c r="G37" s="54" t="n"/>
      <c r="H37" s="55" t="n"/>
    </row>
    <row r="38" ht="24" customHeight="1">
      <c r="A38" s="4" t="n">
        <v>35</v>
      </c>
      <c r="B38" s="5" t="n"/>
      <c r="C38" s="4" t="n"/>
      <c r="D38" s="5" t="n"/>
      <c r="E38" s="4" t="n"/>
      <c r="F38" s="5" t="n"/>
      <c r="G38" s="4" t="n"/>
      <c r="H38" s="5" t="n"/>
    </row>
    <row r="39" ht="24" customHeight="1">
      <c r="A39" s="54" t="n">
        <v>36</v>
      </c>
      <c r="B39" s="55" t="n"/>
      <c r="C39" s="54" t="n"/>
      <c r="D39" s="55" t="n"/>
      <c r="E39" s="54" t="n"/>
      <c r="F39" s="55" t="n"/>
      <c r="G39" s="54" t="n"/>
      <c r="H39" s="55" t="n"/>
    </row>
    <row r="40" ht="24" customHeight="1">
      <c r="A40" s="4" t="n">
        <v>37</v>
      </c>
      <c r="B40" s="5" t="n"/>
      <c r="C40" s="4" t="n"/>
      <c r="D40" s="5" t="n"/>
      <c r="E40" s="4" t="n"/>
      <c r="F40" s="5" t="n"/>
      <c r="G40" s="4" t="n"/>
      <c r="H40" s="5" t="n"/>
    </row>
    <row r="41" ht="24" customHeight="1">
      <c r="A41" s="54" t="n">
        <v>38</v>
      </c>
      <c r="B41" s="55" t="n"/>
      <c r="C41" s="54" t="n"/>
      <c r="D41" s="55" t="n"/>
      <c r="E41" s="54" t="n"/>
      <c r="F41" s="55" t="n"/>
      <c r="G41" s="54" t="n"/>
      <c r="H41" s="55" t="n"/>
    </row>
    <row r="42" ht="24" customHeight="1">
      <c r="A42" s="4" t="n">
        <v>39</v>
      </c>
      <c r="B42" s="5" t="n"/>
      <c r="C42" s="4" t="n"/>
      <c r="D42" s="5" t="n"/>
      <c r="E42" s="4" t="n"/>
      <c r="F42" s="5" t="n"/>
      <c r="G42" s="4" t="n"/>
      <c r="H42" s="5" t="n"/>
    </row>
    <row r="43" ht="24" customHeight="1">
      <c r="A43" s="54" t="n">
        <v>40</v>
      </c>
      <c r="B43" s="55" t="n"/>
      <c r="C43" s="54" t="n"/>
      <c r="D43" s="55" t="n"/>
      <c r="E43" s="54" t="n"/>
      <c r="F43" s="55" t="n"/>
      <c r="G43" s="54" t="n"/>
      <c r="H43" s="55" t="n"/>
    </row>
    <row r="44" ht="24" customHeight="1">
      <c r="A44" s="4" t="n">
        <v>41</v>
      </c>
      <c r="B44" s="5" t="n"/>
      <c r="C44" s="4" t="n"/>
      <c r="D44" s="5" t="n"/>
      <c r="E44" s="4" t="n"/>
      <c r="F44" s="5" t="n"/>
      <c r="G44" s="4" t="n"/>
      <c r="H44" s="5" t="n"/>
    </row>
    <row r="45" ht="24" customHeight="1">
      <c r="A45" s="54" t="n">
        <v>42</v>
      </c>
      <c r="B45" s="55" t="n"/>
      <c r="C45" s="54" t="n"/>
      <c r="D45" s="55" t="n"/>
      <c r="E45" s="54" t="n"/>
      <c r="F45" s="55" t="n"/>
      <c r="G45" s="54" t="n"/>
      <c r="H45" s="55" t="n"/>
    </row>
    <row r="46" ht="24" customHeight="1">
      <c r="A46" s="4" t="n">
        <v>43</v>
      </c>
      <c r="B46" s="5" t="n"/>
      <c r="C46" s="4" t="n"/>
      <c r="D46" s="5" t="n"/>
      <c r="E46" s="4" t="n"/>
      <c r="F46" s="5" t="n"/>
      <c r="G46" s="4" t="n"/>
      <c r="H46" s="5" t="n"/>
    </row>
    <row r="47" ht="24" customHeight="1">
      <c r="A47" s="54" t="n">
        <v>44</v>
      </c>
      <c r="B47" s="55" t="n"/>
      <c r="C47" s="54" t="n"/>
      <c r="D47" s="55" t="n"/>
      <c r="E47" s="54" t="n"/>
      <c r="F47" s="55" t="n"/>
      <c r="G47" s="54" t="n"/>
      <c r="H47" s="55" t="n"/>
    </row>
    <row r="48" ht="24" customHeight="1">
      <c r="A48" s="4" t="n">
        <v>45</v>
      </c>
      <c r="B48" s="5" t="n"/>
      <c r="C48" s="4" t="n"/>
      <c r="D48" s="5" t="n"/>
      <c r="E48" s="4" t="n"/>
      <c r="F48" s="5" t="n"/>
      <c r="G48" s="4" t="n"/>
      <c r="H48" s="5" t="n"/>
    </row>
    <row r="49" ht="24" customHeight="1">
      <c r="A49" s="54" t="n">
        <v>46</v>
      </c>
      <c r="B49" s="55" t="n"/>
      <c r="C49" s="54" t="n"/>
      <c r="D49" s="55" t="n"/>
      <c r="E49" s="54" t="n"/>
      <c r="F49" s="55" t="n"/>
      <c r="G49" s="54" t="n"/>
      <c r="H49" s="55" t="n"/>
    </row>
    <row r="50" ht="24" customHeight="1">
      <c r="A50" s="4" t="n">
        <v>47</v>
      </c>
      <c r="B50" s="5" t="n"/>
      <c r="C50" s="4" t="n"/>
      <c r="D50" s="5" t="n"/>
      <c r="E50" s="4" t="n"/>
      <c r="F50" s="5" t="n"/>
      <c r="G50" s="4" t="n"/>
      <c r="H50" s="5" t="n"/>
    </row>
    <row r="51" ht="24" customHeight="1">
      <c r="A51" s="54" t="n">
        <v>48</v>
      </c>
      <c r="B51" s="55" t="n"/>
      <c r="C51" s="54" t="n"/>
      <c r="D51" s="55" t="n"/>
      <c r="E51" s="54" t="n"/>
      <c r="F51" s="55" t="n"/>
      <c r="G51" s="54" t="n"/>
      <c r="H51" s="55" t="n"/>
    </row>
    <row r="52" ht="24" customHeight="1">
      <c r="A52" s="4" t="n">
        <v>49</v>
      </c>
      <c r="B52" s="5" t="n"/>
      <c r="C52" s="4" t="n"/>
      <c r="D52" s="5" t="n"/>
      <c r="E52" s="4" t="n"/>
      <c r="F52" s="5" t="n"/>
      <c r="G52" s="4" t="n"/>
      <c r="H52" s="5" t="n"/>
    </row>
    <row r="53" ht="24" customHeight="1">
      <c r="A53" s="54" t="n">
        <v>50</v>
      </c>
      <c r="B53" s="55" t="n"/>
      <c r="C53" s="54" t="n"/>
      <c r="D53" s="55" t="n"/>
      <c r="E53" s="54" t="n"/>
      <c r="F53" s="55" t="n"/>
      <c r="G53" s="54" t="n"/>
      <c r="H53" s="55" t="n"/>
    </row>
    <row r="54" ht="24" customHeight="1">
      <c r="A54" s="4" t="n">
        <v>51</v>
      </c>
      <c r="B54" s="5" t="n"/>
      <c r="C54" s="4" t="n"/>
      <c r="D54" s="5" t="n"/>
      <c r="E54" s="4" t="n"/>
      <c r="F54" s="5" t="n"/>
      <c r="G54" s="4" t="n"/>
      <c r="H54" s="5" t="n"/>
    </row>
    <row r="55" ht="24" customHeight="1">
      <c r="A55" s="54" t="n">
        <v>52</v>
      </c>
      <c r="B55" s="55" t="n"/>
      <c r="C55" s="54" t="n"/>
      <c r="D55" s="55" t="n"/>
      <c r="E55" s="54" t="n"/>
      <c r="F55" s="55" t="n"/>
      <c r="G55" s="54" t="n"/>
      <c r="H55" s="55" t="n"/>
    </row>
    <row r="56" ht="24" customHeight="1">
      <c r="A56" s="4" t="n">
        <v>53</v>
      </c>
      <c r="B56" s="5" t="n"/>
      <c r="C56" s="4" t="n"/>
      <c r="D56" s="5" t="n"/>
      <c r="E56" s="4" t="n"/>
      <c r="F56" s="5" t="n"/>
      <c r="G56" s="4" t="n"/>
      <c r="H56" s="5" t="n"/>
    </row>
    <row r="57" ht="24" customHeight="1">
      <c r="A57" s="54" t="n">
        <v>54</v>
      </c>
      <c r="B57" s="55" t="n"/>
      <c r="C57" s="54" t="n"/>
      <c r="D57" s="55" t="n"/>
      <c r="E57" s="54" t="n"/>
      <c r="F57" s="55" t="n"/>
      <c r="G57" s="54" t="n"/>
      <c r="H57" s="55" t="n"/>
    </row>
    <row r="58" ht="24" customHeight="1">
      <c r="A58" s="4" t="n">
        <v>55</v>
      </c>
      <c r="B58" s="5" t="n"/>
      <c r="C58" s="4" t="n"/>
      <c r="D58" s="5" t="n"/>
      <c r="E58" s="4" t="n"/>
      <c r="F58" s="5" t="n"/>
      <c r="G58" s="4" t="n"/>
      <c r="H58" s="5" t="n"/>
    </row>
    <row r="59" ht="24" customHeight="1">
      <c r="A59" s="54" t="n">
        <v>56</v>
      </c>
      <c r="B59" s="55" t="n"/>
      <c r="C59" s="54" t="n"/>
      <c r="D59" s="55" t="n"/>
      <c r="E59" s="54" t="n"/>
      <c r="F59" s="55" t="n"/>
      <c r="G59" s="54" t="n"/>
      <c r="H59" s="55" t="n"/>
    </row>
    <row r="60" ht="24" customHeight="1">
      <c r="A60" s="4" t="n">
        <v>57</v>
      </c>
      <c r="B60" s="5" t="n"/>
      <c r="C60" s="4" t="n"/>
      <c r="D60" s="5" t="n"/>
      <c r="E60" s="4" t="n"/>
      <c r="F60" s="5" t="n"/>
      <c r="G60" s="4" t="n"/>
      <c r="H60" s="5" t="n"/>
    </row>
    <row r="61" ht="24" customHeight="1">
      <c r="A61" s="54" t="n">
        <v>58</v>
      </c>
      <c r="B61" s="55" t="n"/>
      <c r="C61" s="54" t="n"/>
      <c r="D61" s="55" t="n"/>
      <c r="E61" s="54" t="n"/>
      <c r="F61" s="55" t="n"/>
      <c r="G61" s="54" t="n"/>
      <c r="H61" s="55" t="n"/>
    </row>
    <row r="62" ht="24" customHeight="1">
      <c r="A62" s="4" t="n">
        <v>59</v>
      </c>
      <c r="B62" s="5" t="n"/>
      <c r="C62" s="4" t="n"/>
      <c r="D62" s="5" t="n"/>
      <c r="E62" s="4" t="n"/>
      <c r="F62" s="5" t="n"/>
      <c r="G62" s="4" t="n"/>
      <c r="H62" s="5" t="n"/>
    </row>
    <row r="63" ht="24" customHeight="1">
      <c r="A63" s="54" t="n">
        <v>60</v>
      </c>
      <c r="B63" s="55" t="n"/>
      <c r="C63" s="54" t="n"/>
      <c r="D63" s="55" t="n"/>
      <c r="E63" s="54" t="n"/>
      <c r="F63" s="55" t="n"/>
      <c r="G63" s="54" t="n"/>
      <c r="H63" s="55" t="n"/>
    </row>
    <row r="64" ht="24" customHeight="1">
      <c r="A64" s="4" t="n">
        <v>61</v>
      </c>
      <c r="B64" s="5" t="n"/>
      <c r="C64" s="4" t="n"/>
      <c r="D64" s="5" t="n"/>
      <c r="E64" s="4" t="n"/>
      <c r="F64" s="5" t="n"/>
      <c r="G64" s="4" t="n"/>
      <c r="H64" s="5" t="n"/>
    </row>
    <row r="65" ht="24" customHeight="1">
      <c r="A65" s="54" t="n">
        <v>62</v>
      </c>
      <c r="B65" s="55" t="n"/>
      <c r="C65" s="54" t="n"/>
      <c r="D65" s="55" t="n"/>
      <c r="E65" s="54" t="n"/>
      <c r="F65" s="55" t="n"/>
      <c r="G65" s="54" t="n"/>
      <c r="H65" s="55" t="n"/>
    </row>
    <row r="66" ht="24" customHeight="1">
      <c r="A66" s="4" t="n">
        <v>63</v>
      </c>
      <c r="B66" s="5" t="n"/>
      <c r="C66" s="4" t="n"/>
      <c r="D66" s="5" t="n"/>
      <c r="E66" s="4" t="n"/>
      <c r="F66" s="5" t="n"/>
      <c r="G66" s="4" t="n"/>
      <c r="H66" s="5" t="n"/>
    </row>
    <row r="67" ht="24" customHeight="1">
      <c r="A67" s="54" t="n">
        <v>64</v>
      </c>
      <c r="B67" s="55" t="n"/>
      <c r="C67" s="54" t="n"/>
      <c r="D67" s="55" t="n"/>
      <c r="E67" s="54" t="n"/>
      <c r="F67" s="55" t="n"/>
      <c r="G67" s="54" t="n"/>
      <c r="H67" s="55" t="n"/>
    </row>
    <row r="68" ht="24" customHeight="1">
      <c r="A68" s="4" t="n">
        <v>65</v>
      </c>
      <c r="B68" s="5" t="n"/>
      <c r="C68" s="4" t="n"/>
      <c r="D68" s="5" t="n"/>
      <c r="E68" s="4" t="n"/>
      <c r="F68" s="5" t="n"/>
      <c r="G68" s="4" t="n"/>
      <c r="H68" s="5" t="n"/>
    </row>
    <row r="69" ht="24" customHeight="1">
      <c r="A69" s="54" t="n">
        <v>66</v>
      </c>
      <c r="B69" s="55" t="n"/>
      <c r="C69" s="54" t="n"/>
      <c r="D69" s="55" t="n"/>
      <c r="E69" s="54" t="n"/>
      <c r="F69" s="55" t="n"/>
      <c r="G69" s="54" t="n"/>
      <c r="H69" s="55" t="n"/>
    </row>
    <row r="70" ht="24" customHeight="1">
      <c r="A70" s="4" t="n">
        <v>67</v>
      </c>
      <c r="B70" s="5" t="n"/>
      <c r="C70" s="4" t="n"/>
      <c r="D70" s="5" t="n"/>
      <c r="E70" s="4" t="n"/>
      <c r="F70" s="5" t="n"/>
      <c r="G70" s="4" t="n"/>
      <c r="H70" s="5" t="n"/>
    </row>
    <row r="71" ht="24" customHeight="1">
      <c r="A71" s="54" t="n">
        <v>68</v>
      </c>
      <c r="B71" s="55" t="n"/>
      <c r="C71" s="54" t="n"/>
      <c r="D71" s="55" t="n"/>
      <c r="E71" s="54" t="n"/>
      <c r="F71" s="55" t="n"/>
      <c r="G71" s="54" t="n"/>
      <c r="H71" s="55" t="n"/>
    </row>
    <row r="72" ht="24" customHeight="1">
      <c r="A72" s="4" t="n">
        <v>69</v>
      </c>
      <c r="B72" s="5" t="n"/>
      <c r="C72" s="4" t="n"/>
      <c r="D72" s="5" t="n"/>
      <c r="E72" s="4" t="n"/>
      <c r="F72" s="5" t="n"/>
      <c r="G72" s="4" t="n"/>
      <c r="H72" s="5" t="n"/>
    </row>
    <row r="73" ht="24" customHeight="1">
      <c r="A73" s="54" t="n">
        <v>70</v>
      </c>
      <c r="B73" s="55" t="n"/>
      <c r="C73" s="54" t="n"/>
      <c r="D73" s="55" t="n"/>
      <c r="E73" s="54" t="n"/>
      <c r="F73" s="55" t="n"/>
      <c r="G73" s="54" t="n"/>
      <c r="H73" s="55" t="n"/>
    </row>
    <row r="74" ht="24" customHeight="1">
      <c r="A74" s="4" t="n">
        <v>71</v>
      </c>
      <c r="B74" s="5" t="n"/>
      <c r="C74" s="4" t="n"/>
      <c r="D74" s="5" t="n"/>
      <c r="E74" s="4" t="n"/>
      <c r="F74" s="5" t="n"/>
      <c r="G74" s="4" t="n"/>
      <c r="H74" s="5" t="n"/>
    </row>
    <row r="75" ht="24" customHeight="1">
      <c r="A75" s="54" t="n">
        <v>72</v>
      </c>
      <c r="B75" s="55" t="n"/>
      <c r="C75" s="54" t="n"/>
      <c r="D75" s="55" t="n"/>
      <c r="E75" s="54" t="n"/>
      <c r="F75" s="55" t="n"/>
      <c r="G75" s="54" t="n"/>
      <c r="H75" s="55" t="n"/>
    </row>
    <row r="76" ht="24" customHeight="1">
      <c r="A76" s="4" t="n">
        <v>73</v>
      </c>
      <c r="B76" s="5" t="n"/>
      <c r="C76" s="4" t="n"/>
      <c r="D76" s="5" t="n"/>
      <c r="E76" s="4" t="n"/>
      <c r="F76" s="5" t="n"/>
      <c r="G76" s="4" t="n"/>
      <c r="H76" s="5" t="n"/>
    </row>
    <row r="77" ht="24" customHeight="1">
      <c r="A77" s="54" t="n">
        <v>74</v>
      </c>
      <c r="B77" s="55" t="n"/>
      <c r="C77" s="54" t="n"/>
      <c r="D77" s="55" t="n"/>
      <c r="E77" s="54" t="n"/>
      <c r="F77" s="55" t="n"/>
      <c r="G77" s="54" t="n"/>
      <c r="H77" s="55" t="n"/>
    </row>
    <row r="78" ht="24" customHeight="1">
      <c r="A78" s="4" t="n">
        <v>75</v>
      </c>
      <c r="B78" s="5" t="n"/>
      <c r="C78" s="4" t="n"/>
      <c r="D78" s="5" t="n"/>
      <c r="E78" s="4" t="n"/>
      <c r="F78" s="5" t="n"/>
      <c r="G78" s="4" t="n"/>
      <c r="H78" s="5" t="n"/>
    </row>
    <row r="79" ht="24" customHeight="1">
      <c r="A79" s="54" t="n">
        <v>76</v>
      </c>
      <c r="B79" s="55" t="n"/>
      <c r="C79" s="54" t="n"/>
      <c r="D79" s="55" t="n"/>
      <c r="E79" s="54" t="n"/>
      <c r="F79" s="55" t="n"/>
      <c r="G79" s="54" t="n"/>
      <c r="H79" s="55" t="n"/>
    </row>
    <row r="80" ht="24" customHeight="1">
      <c r="A80" s="4" t="n">
        <v>77</v>
      </c>
      <c r="B80" s="5" t="n"/>
      <c r="C80" s="4" t="n"/>
      <c r="D80" s="5" t="n"/>
      <c r="E80" s="4" t="n"/>
      <c r="F80" s="5" t="n"/>
      <c r="G80" s="4" t="n"/>
      <c r="H80" s="5" t="n"/>
    </row>
    <row r="81" ht="24" customHeight="1">
      <c r="A81" s="54" t="n">
        <v>78</v>
      </c>
      <c r="B81" s="55" t="n"/>
      <c r="C81" s="54" t="n"/>
      <c r="D81" s="55" t="n"/>
      <c r="E81" s="54" t="n"/>
      <c r="F81" s="55" t="n"/>
      <c r="G81" s="54" t="n"/>
      <c r="H81" s="55" t="n"/>
    </row>
    <row r="82" ht="24" customHeight="1">
      <c r="A82" s="4" t="n">
        <v>79</v>
      </c>
      <c r="B82" s="5" t="n"/>
      <c r="C82" s="4" t="n"/>
      <c r="D82" s="5" t="n"/>
      <c r="E82" s="4" t="n"/>
      <c r="F82" s="5" t="n"/>
      <c r="G82" s="4" t="n"/>
      <c r="H82" s="5" t="n"/>
    </row>
    <row r="83" ht="24" customHeight="1">
      <c r="A83" s="54" t="n">
        <v>80</v>
      </c>
      <c r="B83" s="55" t="n"/>
      <c r="C83" s="54" t="n"/>
      <c r="D83" s="55" t="n"/>
      <c r="E83" s="54" t="n"/>
      <c r="F83" s="55" t="n"/>
      <c r="G83" s="54" t="n"/>
      <c r="H83" s="55" t="n"/>
    </row>
    <row r="84" ht="24" customHeight="1">
      <c r="A84" s="4" t="n">
        <v>81</v>
      </c>
      <c r="B84" s="5" t="n"/>
      <c r="C84" s="4" t="n"/>
      <c r="D84" s="5" t="n"/>
      <c r="E84" s="4" t="n"/>
      <c r="F84" s="5" t="n"/>
      <c r="G84" s="4" t="n"/>
      <c r="H84" s="5" t="n"/>
    </row>
    <row r="85" ht="24" customHeight="1">
      <c r="A85" s="54" t="n">
        <v>82</v>
      </c>
      <c r="B85" s="55" t="n"/>
      <c r="C85" s="54" t="n"/>
      <c r="D85" s="55" t="n"/>
      <c r="E85" s="54" t="n"/>
      <c r="F85" s="55" t="n"/>
      <c r="G85" s="54" t="n"/>
      <c r="H85" s="55" t="n"/>
    </row>
    <row r="86" ht="24" customHeight="1">
      <c r="A86" s="4" t="n">
        <v>83</v>
      </c>
      <c r="B86" s="5" t="n"/>
      <c r="C86" s="4" t="n"/>
      <c r="D86" s="5" t="n"/>
      <c r="E86" s="4" t="n"/>
      <c r="F86" s="5" t="n"/>
      <c r="G86" s="4" t="n"/>
      <c r="H86" s="5" t="n"/>
    </row>
    <row r="87" ht="24" customHeight="1">
      <c r="A87" s="54" t="n">
        <v>84</v>
      </c>
      <c r="B87" s="55" t="n"/>
      <c r="C87" s="54" t="n"/>
      <c r="D87" s="55" t="n"/>
      <c r="E87" s="54" t="n"/>
      <c r="F87" s="55" t="n"/>
      <c r="G87" s="54" t="n"/>
      <c r="H87" s="55" t="n"/>
    </row>
    <row r="88" ht="24" customHeight="1">
      <c r="A88" s="4" t="n">
        <v>85</v>
      </c>
      <c r="B88" s="5" t="n"/>
      <c r="C88" s="4" t="n"/>
      <c r="D88" s="5" t="n"/>
      <c r="E88" s="4" t="n"/>
      <c r="F88" s="5" t="n"/>
      <c r="G88" s="4" t="n"/>
      <c r="H88" s="5" t="n"/>
    </row>
    <row r="89" ht="24" customHeight="1">
      <c r="A89" s="54" t="n">
        <v>86</v>
      </c>
      <c r="B89" s="55" t="n"/>
      <c r="C89" s="54" t="n"/>
      <c r="D89" s="55" t="n"/>
      <c r="E89" s="54" t="n"/>
      <c r="F89" s="55" t="n"/>
      <c r="G89" s="54" t="n"/>
      <c r="H89" s="55" t="n"/>
    </row>
    <row r="90" ht="24" customHeight="1">
      <c r="A90" s="4" t="n">
        <v>87</v>
      </c>
      <c r="B90" s="5" t="n"/>
      <c r="C90" s="4" t="n"/>
      <c r="D90" s="5" t="n"/>
      <c r="E90" s="4" t="n"/>
      <c r="F90" s="5" t="n"/>
      <c r="G90" s="4" t="n"/>
      <c r="H90" s="5" t="n"/>
    </row>
    <row r="91" ht="24" customHeight="1">
      <c r="A91" s="54" t="n">
        <v>88</v>
      </c>
      <c r="B91" s="55" t="n"/>
      <c r="C91" s="54" t="n"/>
      <c r="D91" s="55" t="n"/>
      <c r="E91" s="54" t="n"/>
      <c r="F91" s="55" t="n"/>
      <c r="G91" s="54" t="n"/>
      <c r="H91" s="55" t="n"/>
    </row>
    <row r="92" ht="24" customHeight="1">
      <c r="A92" s="4" t="n">
        <v>89</v>
      </c>
      <c r="B92" s="5" t="n"/>
      <c r="C92" s="4" t="n"/>
      <c r="D92" s="5" t="n"/>
      <c r="E92" s="4" t="n"/>
      <c r="F92" s="5" t="n"/>
      <c r="G92" s="4" t="n"/>
      <c r="H92" s="5" t="n"/>
    </row>
    <row r="93" ht="24" customHeight="1">
      <c r="A93" s="54" t="n">
        <v>90</v>
      </c>
      <c r="B93" s="55" t="n"/>
      <c r="C93" s="54" t="n"/>
      <c r="D93" s="55" t="n"/>
      <c r="E93" s="54" t="n"/>
      <c r="F93" s="55" t="n"/>
      <c r="G93" s="54" t="n"/>
      <c r="H93" s="55" t="n"/>
    </row>
    <row r="94" ht="24" customHeight="1">
      <c r="A94" s="4" t="n">
        <v>91</v>
      </c>
      <c r="B94" s="5" t="n"/>
      <c r="C94" s="4" t="n"/>
      <c r="D94" s="5" t="n"/>
      <c r="E94" s="4" t="n"/>
      <c r="F94" s="5" t="n"/>
      <c r="G94" s="4" t="n"/>
      <c r="H94" s="5" t="n"/>
    </row>
    <row r="95" ht="24" customHeight="1">
      <c r="A95" s="54" t="n">
        <v>92</v>
      </c>
      <c r="B95" s="55" t="n"/>
      <c r="C95" s="54" t="n"/>
      <c r="D95" s="55" t="n"/>
      <c r="E95" s="54" t="n"/>
      <c r="F95" s="55" t="n"/>
      <c r="G95" s="54" t="n"/>
      <c r="H95" s="55" t="n"/>
    </row>
    <row r="96" ht="24" customHeight="1">
      <c r="A96" s="4" t="n">
        <v>93</v>
      </c>
      <c r="B96" s="5" t="n"/>
      <c r="C96" s="4" t="n"/>
      <c r="D96" s="5" t="n"/>
      <c r="E96" s="4" t="n"/>
      <c r="F96" s="5" t="n"/>
      <c r="G96" s="4" t="n"/>
      <c r="H96" s="5" t="n"/>
    </row>
    <row r="97" ht="24" customHeight="1">
      <c r="A97" s="54" t="n">
        <v>94</v>
      </c>
      <c r="B97" s="55" t="n"/>
      <c r="C97" s="54" t="n"/>
      <c r="D97" s="55" t="n"/>
      <c r="E97" s="54" t="n"/>
      <c r="F97" s="55" t="n"/>
      <c r="G97" s="54" t="n"/>
      <c r="H97" s="55" t="n"/>
    </row>
    <row r="98" ht="24" customHeight="1">
      <c r="A98" s="4" t="n">
        <v>95</v>
      </c>
      <c r="B98" s="5" t="n"/>
      <c r="C98" s="4" t="n"/>
      <c r="D98" s="5" t="n"/>
      <c r="E98" s="4" t="n"/>
      <c r="F98" s="5" t="n"/>
      <c r="G98" s="4" t="n"/>
      <c r="H98" s="5" t="n"/>
    </row>
    <row r="99" ht="24" customHeight="1">
      <c r="A99" s="54" t="n">
        <v>96</v>
      </c>
      <c r="B99" s="55" t="n"/>
      <c r="C99" s="54" t="n"/>
      <c r="D99" s="55" t="n"/>
      <c r="E99" s="54" t="n"/>
      <c r="F99" s="55" t="n"/>
      <c r="G99" s="54" t="n"/>
      <c r="H99" s="55" t="n"/>
    </row>
    <row r="100" ht="24" customHeight="1">
      <c r="A100" s="4" t="n">
        <v>97</v>
      </c>
      <c r="B100" s="5" t="n"/>
      <c r="C100" s="4" t="n"/>
      <c r="D100" s="5" t="n"/>
      <c r="E100" s="4" t="n"/>
      <c r="F100" s="5" t="n"/>
      <c r="G100" s="4" t="n"/>
      <c r="H100" s="5" t="n"/>
    </row>
    <row r="101" ht="24" customHeight="1">
      <c r="A101" s="54" t="n">
        <v>98</v>
      </c>
      <c r="B101" s="55" t="n"/>
      <c r="C101" s="54" t="n"/>
      <c r="D101" s="55" t="n"/>
      <c r="E101" s="54" t="n"/>
      <c r="F101" s="55" t="n"/>
      <c r="G101" s="54" t="n"/>
      <c r="H101" s="55" t="n"/>
    </row>
    <row r="102" ht="24" customHeight="1">
      <c r="A102" s="4" t="n">
        <v>99</v>
      </c>
      <c r="B102" s="5" t="n"/>
      <c r="C102" s="4" t="n"/>
      <c r="D102" s="5" t="n"/>
      <c r="E102" s="4" t="n"/>
      <c r="F102" s="5" t="n"/>
      <c r="G102" s="4" t="n"/>
      <c r="H102" s="5" t="n"/>
    </row>
    <row r="103" ht="24" customHeight="1">
      <c r="A103" s="54" t="n">
        <v>100</v>
      </c>
      <c r="B103" s="55" t="n"/>
      <c r="C103" s="54" t="n"/>
      <c r="D103" s="55" t="n"/>
      <c r="E103" s="54" t="n"/>
      <c r="F103" s="55" t="n"/>
      <c r="G103" s="54" t="n"/>
      <c r="H103" s="55" t="n"/>
    </row>
    <row r="104" ht="24" customHeight="1">
      <c r="A104" s="4" t="n">
        <v>101</v>
      </c>
      <c r="B104" s="5" t="n"/>
      <c r="C104" s="4" t="n"/>
      <c r="D104" s="5" t="n"/>
      <c r="E104" s="4" t="n"/>
      <c r="F104" s="5" t="n"/>
      <c r="G104" s="4" t="n"/>
      <c r="H104" s="5" t="n"/>
    </row>
    <row r="105" ht="24" customHeight="1">
      <c r="A105" s="54" t="n">
        <v>102</v>
      </c>
      <c r="B105" s="55" t="n"/>
      <c r="C105" s="54" t="n"/>
      <c r="D105" s="55" t="n"/>
      <c r="E105" s="54" t="n"/>
      <c r="F105" s="55" t="n"/>
      <c r="G105" s="54" t="n"/>
      <c r="H105" s="55" t="n"/>
    </row>
    <row r="106" ht="24" customHeight="1">
      <c r="A106" s="4" t="n">
        <v>103</v>
      </c>
      <c r="B106" s="5" t="n"/>
      <c r="C106" s="4" t="n"/>
      <c r="D106" s="5" t="n"/>
      <c r="E106" s="4" t="n"/>
      <c r="F106" s="5" t="n"/>
      <c r="G106" s="4" t="n"/>
      <c r="H106" s="5" t="n"/>
    </row>
    <row r="107" ht="24" customHeight="1">
      <c r="A107" s="54" t="n">
        <v>104</v>
      </c>
      <c r="B107" s="55" t="n"/>
      <c r="C107" s="54" t="n"/>
      <c r="D107" s="55" t="n"/>
      <c r="E107" s="54" t="n"/>
      <c r="F107" s="55" t="n"/>
      <c r="G107" s="54" t="n"/>
      <c r="H107" s="55" t="n"/>
    </row>
    <row r="108" ht="24" customHeight="1">
      <c r="A108" s="4" t="n">
        <v>105</v>
      </c>
      <c r="B108" s="5" t="n"/>
      <c r="C108" s="4" t="n"/>
      <c r="D108" s="5" t="n"/>
      <c r="E108" s="4" t="n"/>
      <c r="F108" s="5" t="n"/>
      <c r="G108" s="4" t="n"/>
      <c r="H108" s="5" t="n"/>
    </row>
    <row r="109" ht="24" customHeight="1">
      <c r="A109" s="54" t="n">
        <v>106</v>
      </c>
      <c r="B109" s="55" t="n"/>
      <c r="C109" s="54" t="n"/>
      <c r="D109" s="55" t="n"/>
      <c r="E109" s="54" t="n"/>
      <c r="F109" s="55" t="n"/>
      <c r="G109" s="54" t="n"/>
      <c r="H109" s="55" t="n"/>
    </row>
    <row r="110" ht="24" customHeight="1">
      <c r="A110" s="4" t="n">
        <v>107</v>
      </c>
      <c r="B110" s="5" t="n"/>
      <c r="C110" s="4" t="n"/>
      <c r="D110" s="5" t="n"/>
      <c r="E110" s="4" t="n"/>
      <c r="F110" s="5" t="n"/>
      <c r="G110" s="4" t="n"/>
      <c r="H110" s="5" t="n"/>
    </row>
    <row r="111" ht="24" customHeight="1">
      <c r="A111" s="54" t="n">
        <v>108</v>
      </c>
      <c r="B111" s="55" t="n"/>
      <c r="C111" s="54" t="n"/>
      <c r="D111" s="55" t="n"/>
      <c r="E111" s="54" t="n"/>
      <c r="F111" s="55" t="n"/>
      <c r="G111" s="54" t="n"/>
      <c r="H111" s="55" t="n"/>
    </row>
    <row r="112" ht="24" customHeight="1">
      <c r="A112" s="4" t="n">
        <v>109</v>
      </c>
      <c r="B112" s="5" t="n"/>
      <c r="C112" s="4" t="n"/>
      <c r="D112" s="5" t="n"/>
      <c r="E112" s="4" t="n"/>
      <c r="F112" s="5" t="n"/>
      <c r="G112" s="4" t="n"/>
      <c r="H112" s="5" t="n"/>
    </row>
    <row r="113" ht="24" customHeight="1">
      <c r="A113" s="54" t="n">
        <v>110</v>
      </c>
      <c r="B113" s="55" t="n"/>
      <c r="C113" s="54" t="n"/>
      <c r="D113" s="55" t="n"/>
      <c r="E113" s="54" t="n"/>
      <c r="F113" s="55" t="n"/>
      <c r="G113" s="54" t="n"/>
      <c r="H113" s="55" t="n"/>
    </row>
    <row r="114" ht="24" customHeight="1">
      <c r="A114" s="4" t="n">
        <v>111</v>
      </c>
      <c r="B114" s="5" t="n"/>
      <c r="C114" s="4" t="n"/>
      <c r="D114" s="5" t="n"/>
      <c r="E114" s="4" t="n"/>
      <c r="F114" s="5" t="n"/>
      <c r="G114" s="4" t="n"/>
      <c r="H114" s="5" t="n"/>
    </row>
    <row r="115" ht="24" customHeight="1">
      <c r="A115" s="54" t="n">
        <v>112</v>
      </c>
      <c r="B115" s="55" t="n"/>
      <c r="C115" s="54" t="n"/>
      <c r="D115" s="55" t="n"/>
      <c r="E115" s="54" t="n"/>
      <c r="F115" s="55" t="n"/>
      <c r="G115" s="54" t="n"/>
      <c r="H115" s="55" t="n"/>
    </row>
    <row r="116" ht="24" customHeight="1">
      <c r="A116" s="4" t="n">
        <v>113</v>
      </c>
      <c r="B116" s="5" t="n"/>
      <c r="C116" s="4" t="n"/>
      <c r="D116" s="5" t="n"/>
      <c r="E116" s="4" t="n"/>
      <c r="F116" s="5" t="n"/>
      <c r="G116" s="4" t="n"/>
      <c r="H116" s="5" t="n"/>
    </row>
    <row r="117" ht="24" customHeight="1">
      <c r="A117" s="54" t="n">
        <v>114</v>
      </c>
      <c r="B117" s="55" t="n"/>
      <c r="C117" s="54" t="n"/>
      <c r="D117" s="55" t="n"/>
      <c r="E117" s="54" t="n"/>
      <c r="F117" s="55" t="n"/>
      <c r="G117" s="54" t="n"/>
      <c r="H117" s="55" t="n"/>
    </row>
    <row r="118" ht="24" customHeight="1">
      <c r="A118" s="4" t="n">
        <v>115</v>
      </c>
      <c r="B118" s="5" t="n"/>
      <c r="C118" s="4" t="n"/>
      <c r="D118" s="5" t="n"/>
      <c r="E118" s="4" t="n"/>
      <c r="F118" s="5" t="n"/>
      <c r="G118" s="4" t="n"/>
      <c r="H118" s="5" t="n"/>
    </row>
    <row r="119" ht="24" customHeight="1">
      <c r="A119" s="54" t="n">
        <v>116</v>
      </c>
      <c r="B119" s="55" t="n"/>
      <c r="C119" s="54" t="n"/>
      <c r="D119" s="55" t="n"/>
      <c r="E119" s="54" t="n"/>
      <c r="F119" s="55" t="n"/>
      <c r="G119" s="54" t="n"/>
      <c r="H119" s="55" t="n"/>
    </row>
    <row r="120" ht="24" customHeight="1">
      <c r="A120" s="4" t="n">
        <v>117</v>
      </c>
      <c r="B120" s="5" t="n"/>
      <c r="C120" s="4" t="n"/>
      <c r="D120" s="5" t="n"/>
      <c r="E120" s="4" t="n"/>
      <c r="F120" s="5" t="n"/>
      <c r="G120" s="4" t="n"/>
      <c r="H120" s="5" t="n"/>
    </row>
    <row r="121" ht="24" customHeight="1">
      <c r="A121" s="54" t="n">
        <v>118</v>
      </c>
      <c r="B121" s="55" t="n"/>
      <c r="C121" s="54" t="n"/>
      <c r="D121" s="55" t="n"/>
      <c r="E121" s="54" t="n"/>
      <c r="F121" s="55" t="n"/>
      <c r="G121" s="54" t="n"/>
      <c r="H121" s="55" t="n"/>
    </row>
    <row r="122" ht="24" customHeight="1">
      <c r="A122" s="4" t="n">
        <v>119</v>
      </c>
      <c r="B122" s="5" t="n"/>
      <c r="C122" s="4" t="n"/>
      <c r="D122" s="5" t="n"/>
      <c r="E122" s="4" t="n"/>
      <c r="F122" s="5" t="n"/>
      <c r="G122" s="4" t="n"/>
      <c r="H122" s="5" t="n"/>
    </row>
    <row r="123" ht="24" customHeight="1">
      <c r="A123" s="54" t="n">
        <v>120</v>
      </c>
      <c r="B123" s="55" t="n"/>
      <c r="C123" s="54" t="n"/>
      <c r="D123" s="55" t="n"/>
      <c r="E123" s="54" t="n"/>
      <c r="F123" s="55" t="n"/>
      <c r="G123" s="54" t="n"/>
      <c r="H123" s="55" t="n"/>
    </row>
    <row r="124" ht="24" customHeight="1">
      <c r="A124" s="4" t="n">
        <v>121</v>
      </c>
      <c r="B124" s="5" t="n"/>
      <c r="C124" s="4" t="n"/>
      <c r="D124" s="5" t="n"/>
      <c r="E124" s="4" t="n"/>
      <c r="F124" s="5" t="n"/>
      <c r="G124" s="4" t="n"/>
      <c r="H124" s="5" t="n"/>
    </row>
    <row r="125" ht="24" customHeight="1">
      <c r="A125" s="54" t="n">
        <v>122</v>
      </c>
      <c r="B125" s="55" t="n"/>
      <c r="C125" s="54" t="n"/>
      <c r="D125" s="55" t="n"/>
      <c r="E125" s="54" t="n"/>
      <c r="F125" s="55" t="n"/>
      <c r="G125" s="54" t="n"/>
      <c r="H125" s="55" t="n"/>
    </row>
    <row r="126" ht="24" customHeight="1">
      <c r="A126" s="4" t="n">
        <v>123</v>
      </c>
      <c r="B126" s="5" t="n"/>
      <c r="C126" s="4" t="n"/>
      <c r="D126" s="5" t="n"/>
      <c r="E126" s="4" t="n"/>
      <c r="F126" s="5" t="n"/>
      <c r="G126" s="4" t="n"/>
      <c r="H126" s="5" t="n"/>
    </row>
    <row r="127" ht="24" customHeight="1">
      <c r="A127" s="54" t="n">
        <v>124</v>
      </c>
      <c r="B127" s="55" t="n"/>
      <c r="C127" s="54" t="n"/>
      <c r="D127" s="55" t="n"/>
      <c r="E127" s="54" t="n"/>
      <c r="F127" s="55" t="n"/>
      <c r="G127" s="54" t="n"/>
      <c r="H127" s="55" t="n"/>
    </row>
    <row r="128" ht="24" customHeight="1">
      <c r="A128" s="4" t="n">
        <v>125</v>
      </c>
      <c r="B128" s="5" t="n"/>
      <c r="C128" s="4" t="n"/>
      <c r="D128" s="5" t="n"/>
      <c r="E128" s="4" t="n"/>
      <c r="F128" s="5" t="n"/>
      <c r="G128" s="4" t="n"/>
      <c r="H128" s="5" t="n"/>
    </row>
    <row r="129" ht="24" customHeight="1">
      <c r="A129" s="54" t="n">
        <v>126</v>
      </c>
      <c r="B129" s="55" t="n"/>
      <c r="C129" s="54" t="n"/>
      <c r="D129" s="55" t="n"/>
      <c r="E129" s="54" t="n"/>
      <c r="F129" s="55" t="n"/>
      <c r="G129" s="54" t="n"/>
      <c r="H129" s="55" t="n"/>
    </row>
    <row r="130" ht="24" customHeight="1">
      <c r="A130" s="4" t="n">
        <v>127</v>
      </c>
      <c r="B130" s="5" t="n"/>
      <c r="C130" s="4" t="n"/>
      <c r="D130" s="5" t="n"/>
      <c r="E130" s="4" t="n"/>
      <c r="F130" s="5" t="n"/>
      <c r="G130" s="4" t="n"/>
      <c r="H130" s="5" t="n"/>
    </row>
    <row r="131" ht="24" customHeight="1">
      <c r="A131" s="54" t="n">
        <v>128</v>
      </c>
      <c r="B131" s="55" t="n"/>
      <c r="C131" s="54" t="n"/>
      <c r="D131" s="55" t="n"/>
      <c r="E131" s="54" t="n"/>
      <c r="F131" s="55" t="n"/>
      <c r="G131" s="54" t="n"/>
      <c r="H131" s="55" t="n"/>
    </row>
    <row r="132" ht="24" customHeight="1">
      <c r="A132" s="4" t="n">
        <v>129</v>
      </c>
      <c r="B132" s="5" t="n"/>
      <c r="C132" s="4" t="n"/>
      <c r="D132" s="5" t="n"/>
      <c r="E132" s="4" t="n"/>
      <c r="F132" s="5" t="n"/>
      <c r="G132" s="4" t="n"/>
      <c r="H132" s="5" t="n"/>
    </row>
    <row r="133" ht="24" customHeight="1">
      <c r="A133" s="54" t="n">
        <v>130</v>
      </c>
      <c r="B133" s="55" t="n"/>
      <c r="C133" s="54" t="n"/>
      <c r="D133" s="55" t="n"/>
      <c r="E133" s="54" t="n"/>
      <c r="F133" s="55" t="n"/>
      <c r="G133" s="54" t="n"/>
      <c r="H133" s="55" t="n"/>
    </row>
    <row r="134" ht="24" customHeight="1">
      <c r="A134" s="4" t="n">
        <v>131</v>
      </c>
      <c r="B134" s="5" t="n"/>
      <c r="C134" s="4" t="n"/>
      <c r="D134" s="5" t="n"/>
      <c r="E134" s="4" t="n"/>
      <c r="F134" s="5" t="n"/>
      <c r="G134" s="4" t="n"/>
      <c r="H134" s="5" t="n"/>
    </row>
    <row r="135" ht="24" customHeight="1">
      <c r="A135" s="54" t="n">
        <v>132</v>
      </c>
      <c r="B135" s="55" t="n"/>
      <c r="C135" s="54" t="n"/>
      <c r="D135" s="55" t="n"/>
      <c r="E135" s="54" t="n"/>
      <c r="F135" s="55" t="n"/>
      <c r="G135" s="54" t="n"/>
      <c r="H135" s="55" t="n"/>
    </row>
    <row r="136" ht="24" customHeight="1">
      <c r="A136" s="4" t="n">
        <v>133</v>
      </c>
      <c r="B136" s="5" t="n"/>
      <c r="C136" s="4" t="n"/>
      <c r="D136" s="5" t="n"/>
      <c r="E136" s="4" t="n"/>
      <c r="F136" s="5" t="n"/>
      <c r="G136" s="4" t="n"/>
      <c r="H136" s="5" t="n"/>
    </row>
    <row r="137" ht="24" customHeight="1">
      <c r="A137" s="54" t="n">
        <v>134</v>
      </c>
      <c r="B137" s="55" t="n"/>
      <c r="C137" s="54" t="n"/>
      <c r="D137" s="55" t="n"/>
      <c r="E137" s="54" t="n"/>
      <c r="F137" s="55" t="n"/>
      <c r="G137" s="54" t="n"/>
      <c r="H137" s="55" t="n"/>
    </row>
    <row r="138" ht="24" customHeight="1">
      <c r="A138" s="4" t="n">
        <v>135</v>
      </c>
      <c r="B138" s="5" t="n"/>
      <c r="C138" s="4" t="n"/>
      <c r="D138" s="5" t="n"/>
      <c r="E138" s="4" t="n"/>
      <c r="F138" s="5" t="n"/>
      <c r="G138" s="4" t="n"/>
      <c r="H138" s="5" t="n"/>
    </row>
    <row r="139" ht="24" customHeight="1">
      <c r="A139" s="54" t="n">
        <v>136</v>
      </c>
      <c r="B139" s="55" t="n"/>
      <c r="C139" s="54" t="n"/>
      <c r="D139" s="55" t="n"/>
      <c r="E139" s="54" t="n"/>
      <c r="F139" s="55" t="n"/>
      <c r="G139" s="54" t="n"/>
      <c r="H139" s="55" t="n"/>
    </row>
    <row r="140" ht="24" customHeight="1">
      <c r="A140" s="4" t="n">
        <v>137</v>
      </c>
      <c r="B140" s="5" t="n"/>
      <c r="C140" s="4" t="n"/>
      <c r="D140" s="5" t="n"/>
      <c r="E140" s="4" t="n"/>
      <c r="F140" s="5" t="n"/>
      <c r="G140" s="4" t="n"/>
      <c r="H140" s="5" t="n"/>
    </row>
    <row r="141" ht="24" customHeight="1">
      <c r="A141" s="54" t="n">
        <v>138</v>
      </c>
      <c r="B141" s="55" t="n"/>
      <c r="C141" s="54" t="n"/>
      <c r="D141" s="55" t="n"/>
      <c r="E141" s="54" t="n"/>
      <c r="F141" s="55" t="n"/>
      <c r="G141" s="54" t="n"/>
      <c r="H141" s="55" t="n"/>
    </row>
    <row r="142" ht="24" customHeight="1">
      <c r="A142" s="4" t="n">
        <v>139</v>
      </c>
      <c r="B142" s="5" t="n"/>
      <c r="C142" s="4" t="n"/>
      <c r="D142" s="5" t="n"/>
      <c r="E142" s="4" t="n"/>
      <c r="F142" s="5" t="n"/>
      <c r="G142" s="4" t="n"/>
      <c r="H142" s="5" t="n"/>
    </row>
    <row r="143" ht="24" customHeight="1">
      <c r="A143" s="54" t="n">
        <v>140</v>
      </c>
      <c r="B143" s="55" t="n"/>
      <c r="C143" s="54" t="n"/>
      <c r="D143" s="55" t="n"/>
      <c r="E143" s="54" t="n"/>
      <c r="F143" s="55" t="n"/>
      <c r="G143" s="54" t="n"/>
      <c r="H143" s="55" t="n"/>
    </row>
    <row r="144" ht="24" customHeight="1">
      <c r="A144" s="4" t="n">
        <v>141</v>
      </c>
      <c r="B144" s="5" t="n"/>
      <c r="C144" s="4" t="n"/>
      <c r="D144" s="5" t="n"/>
      <c r="E144" s="4" t="n"/>
      <c r="F144" s="5" t="n"/>
      <c r="G144" s="4" t="n"/>
      <c r="H144" s="5" t="n"/>
    </row>
    <row r="145" ht="24" customHeight="1">
      <c r="A145" s="54" t="n">
        <v>142</v>
      </c>
      <c r="B145" s="55" t="n"/>
      <c r="C145" s="54" t="n"/>
      <c r="D145" s="55" t="n"/>
      <c r="E145" s="54" t="n"/>
      <c r="F145" s="55" t="n"/>
      <c r="G145" s="54" t="n"/>
      <c r="H145" s="55" t="n"/>
    </row>
    <row r="146" ht="24" customHeight="1">
      <c r="A146" s="4" t="n">
        <v>143</v>
      </c>
      <c r="B146" s="5" t="n"/>
      <c r="C146" s="4" t="n"/>
      <c r="D146" s="5" t="n"/>
      <c r="E146" s="4" t="n"/>
      <c r="F146" s="5" t="n"/>
      <c r="G146" s="4" t="n"/>
      <c r="H146" s="5" t="n"/>
    </row>
    <row r="147" ht="24" customHeight="1">
      <c r="A147" s="54" t="n">
        <v>144</v>
      </c>
      <c r="B147" s="55" t="n"/>
      <c r="C147" s="54" t="n"/>
      <c r="D147" s="55" t="n"/>
      <c r="E147" s="54" t="n"/>
      <c r="F147" s="55" t="n"/>
      <c r="G147" s="54" t="n"/>
      <c r="H147" s="55" t="n"/>
    </row>
    <row r="148" ht="24" customHeight="1">
      <c r="A148" s="4" t="n">
        <v>145</v>
      </c>
      <c r="B148" s="5" t="n"/>
      <c r="C148" s="4" t="n"/>
      <c r="D148" s="5" t="n"/>
      <c r="E148" s="4" t="n"/>
      <c r="F148" s="5" t="n"/>
      <c r="G148" s="4" t="n"/>
      <c r="H148" s="5" t="n"/>
    </row>
    <row r="149" ht="24" customHeight="1">
      <c r="A149" s="54" t="n">
        <v>146</v>
      </c>
      <c r="B149" s="55" t="n"/>
      <c r="C149" s="54" t="n"/>
      <c r="D149" s="55" t="n"/>
      <c r="E149" s="54" t="n"/>
      <c r="F149" s="55" t="n"/>
      <c r="G149" s="54" t="n"/>
      <c r="H149" s="55" t="n"/>
    </row>
    <row r="150" ht="24" customHeight="1">
      <c r="A150" s="4" t="n">
        <v>147</v>
      </c>
      <c r="B150" s="5" t="n"/>
      <c r="C150" s="4" t="n"/>
      <c r="D150" s="5" t="n"/>
      <c r="E150" s="4" t="n"/>
      <c r="F150" s="5" t="n"/>
      <c r="G150" s="4" t="n"/>
      <c r="H150" s="5" t="n"/>
    </row>
    <row r="151" ht="24" customHeight="1">
      <c r="A151" s="54" t="n">
        <v>148</v>
      </c>
      <c r="B151" s="55" t="n"/>
      <c r="C151" s="54" t="n"/>
      <c r="D151" s="55" t="n"/>
      <c r="E151" s="54" t="n"/>
      <c r="F151" s="55" t="n"/>
      <c r="G151" s="54" t="n"/>
      <c r="H151" s="55" t="n"/>
    </row>
    <row r="152" ht="24" customHeight="1">
      <c r="A152" s="4" t="n">
        <v>149</v>
      </c>
      <c r="B152" s="5" t="n"/>
      <c r="C152" s="4" t="n"/>
      <c r="D152" s="5" t="n"/>
      <c r="E152" s="4" t="n"/>
      <c r="F152" s="5" t="n"/>
      <c r="G152" s="4" t="n"/>
      <c r="H152" s="5" t="n"/>
    </row>
    <row r="153" ht="24" customHeight="1">
      <c r="A153" s="54" t="n">
        <v>150</v>
      </c>
      <c r="B153" s="55" t="n"/>
      <c r="C153" s="54" t="n"/>
      <c r="D153" s="55" t="n"/>
      <c r="E153" s="54" t="n"/>
      <c r="F153" s="55" t="n"/>
      <c r="G153" s="54" t="n"/>
      <c r="H153" s="55" t="n"/>
    </row>
    <row r="154" ht="24" customHeight="1">
      <c r="A154" s="4" t="n">
        <v>151</v>
      </c>
      <c r="B154" s="5" t="n"/>
      <c r="C154" s="4" t="n"/>
      <c r="D154" s="5" t="n"/>
      <c r="E154" s="4" t="n"/>
      <c r="F154" s="5" t="n"/>
      <c r="G154" s="4" t="n"/>
      <c r="H154" s="5" t="n"/>
    </row>
    <row r="155" ht="24" customHeight="1">
      <c r="A155" s="54" t="n">
        <v>152</v>
      </c>
      <c r="B155" s="55" t="n"/>
      <c r="C155" s="54" t="n"/>
      <c r="D155" s="55" t="n"/>
      <c r="E155" s="54" t="n"/>
      <c r="F155" s="55" t="n"/>
      <c r="G155" s="54" t="n"/>
      <c r="H155" s="55" t="n"/>
    </row>
    <row r="156" ht="24" customHeight="1">
      <c r="A156" s="4" t="n">
        <v>153</v>
      </c>
      <c r="B156" s="5" t="n"/>
      <c r="C156" s="4" t="n"/>
      <c r="D156" s="5" t="n"/>
      <c r="E156" s="4" t="n"/>
      <c r="F156" s="5" t="n"/>
      <c r="G156" s="4" t="n"/>
      <c r="H156" s="5" t="n"/>
    </row>
    <row r="157" ht="24" customHeight="1">
      <c r="A157" s="54" t="n">
        <v>154</v>
      </c>
      <c r="B157" s="55" t="n"/>
      <c r="C157" s="54" t="n"/>
      <c r="D157" s="55" t="n"/>
      <c r="E157" s="54" t="n"/>
      <c r="F157" s="55" t="n"/>
      <c r="G157" s="54" t="n"/>
      <c r="H157" s="55" t="n"/>
    </row>
    <row r="158" ht="24" customHeight="1">
      <c r="A158" s="4" t="n">
        <v>155</v>
      </c>
      <c r="B158" s="5" t="n"/>
      <c r="C158" s="4" t="n"/>
      <c r="D158" s="5" t="n"/>
      <c r="E158" s="4" t="n"/>
      <c r="F158" s="5" t="n"/>
      <c r="G158" s="4" t="n"/>
      <c r="H158" s="5" t="n"/>
    </row>
    <row r="159" ht="24" customHeight="1">
      <c r="A159" s="54" t="n">
        <v>156</v>
      </c>
      <c r="B159" s="55" t="n"/>
      <c r="C159" s="54" t="n"/>
      <c r="D159" s="55" t="n"/>
      <c r="E159" s="54" t="n"/>
      <c r="F159" s="55" t="n"/>
      <c r="G159" s="54" t="n"/>
      <c r="H159" s="55" t="n"/>
    </row>
    <row r="160" ht="24" customHeight="1">
      <c r="A160" s="4" t="n">
        <v>157</v>
      </c>
      <c r="B160" s="5" t="n"/>
      <c r="C160" s="4" t="n"/>
      <c r="D160" s="5" t="n"/>
      <c r="E160" s="4" t="n"/>
      <c r="F160" s="5" t="n"/>
      <c r="G160" s="4" t="n"/>
      <c r="H160" s="5" t="n"/>
    </row>
    <row r="161" ht="24" customHeight="1">
      <c r="A161" s="54" t="n">
        <v>158</v>
      </c>
      <c r="B161" s="55" t="n"/>
      <c r="C161" s="54" t="n"/>
      <c r="D161" s="55" t="n"/>
      <c r="E161" s="54" t="n"/>
      <c r="F161" s="55" t="n"/>
      <c r="G161" s="54" t="n"/>
      <c r="H161" s="55" t="n"/>
    </row>
    <row r="162" ht="24" customHeight="1">
      <c r="A162" s="4" t="n">
        <v>159</v>
      </c>
      <c r="B162" s="5" t="n"/>
      <c r="C162" s="4" t="n"/>
      <c r="D162" s="5" t="n"/>
      <c r="E162" s="4" t="n"/>
      <c r="F162" s="5" t="n"/>
      <c r="G162" s="4" t="n"/>
      <c r="H162" s="5" t="n"/>
    </row>
    <row r="163" ht="24" customHeight="1">
      <c r="A163" s="54" t="n">
        <v>160</v>
      </c>
      <c r="B163" s="55" t="n"/>
      <c r="C163" s="54" t="n"/>
      <c r="D163" s="55" t="n"/>
      <c r="E163" s="54" t="n"/>
      <c r="F163" s="55" t="n"/>
      <c r="G163" s="54" t="n"/>
      <c r="H163" s="55" t="n"/>
    </row>
    <row r="164" ht="24" customHeight="1">
      <c r="A164" s="4" t="n">
        <v>161</v>
      </c>
      <c r="B164" s="5" t="n"/>
      <c r="C164" s="4" t="n"/>
      <c r="D164" s="5" t="n"/>
      <c r="E164" s="4" t="n"/>
      <c r="F164" s="5" t="n"/>
      <c r="G164" s="4" t="n"/>
      <c r="H164" s="5" t="n"/>
    </row>
    <row r="165" ht="24" customHeight="1">
      <c r="A165" s="54" t="n">
        <v>162</v>
      </c>
      <c r="B165" s="55" t="n"/>
      <c r="C165" s="54" t="n"/>
      <c r="D165" s="55" t="n"/>
      <c r="E165" s="54" t="n"/>
      <c r="F165" s="55" t="n"/>
      <c r="G165" s="54" t="n"/>
      <c r="H165" s="55" t="n"/>
    </row>
    <row r="166" ht="24" customHeight="1">
      <c r="A166" s="4" t="n">
        <v>163</v>
      </c>
      <c r="B166" s="5" t="n"/>
      <c r="C166" s="4" t="n"/>
      <c r="D166" s="5" t="n"/>
      <c r="E166" s="4" t="n"/>
      <c r="F166" s="5" t="n"/>
      <c r="G166" s="4" t="n"/>
      <c r="H166" s="5" t="n"/>
    </row>
    <row r="167" ht="24" customHeight="1">
      <c r="A167" s="54" t="n">
        <v>164</v>
      </c>
      <c r="B167" s="55" t="n"/>
      <c r="C167" s="54" t="n"/>
      <c r="D167" s="55" t="n"/>
      <c r="E167" s="54" t="n"/>
      <c r="F167" s="55" t="n"/>
      <c r="G167" s="54" t="n"/>
      <c r="H167" s="55" t="n"/>
    </row>
    <row r="168" ht="24" customHeight="1">
      <c r="A168" s="4" t="n">
        <v>165</v>
      </c>
      <c r="B168" s="5" t="n"/>
      <c r="C168" s="4" t="n"/>
      <c r="D168" s="5" t="n"/>
      <c r="E168" s="4" t="n"/>
      <c r="F168" s="5" t="n"/>
      <c r="G168" s="4" t="n"/>
      <c r="H168" s="5" t="n"/>
    </row>
    <row r="169" ht="24" customHeight="1">
      <c r="A169" s="54" t="n">
        <v>166</v>
      </c>
      <c r="B169" s="55" t="n"/>
      <c r="C169" s="54" t="n"/>
      <c r="D169" s="55" t="n"/>
      <c r="E169" s="54" t="n"/>
      <c r="F169" s="55" t="n"/>
      <c r="G169" s="54" t="n"/>
      <c r="H169" s="55" t="n"/>
    </row>
    <row r="170" ht="24" customHeight="1">
      <c r="A170" s="4" t="n">
        <v>167</v>
      </c>
      <c r="B170" s="5" t="n"/>
      <c r="C170" s="4" t="n"/>
      <c r="D170" s="5" t="n"/>
      <c r="E170" s="4" t="n"/>
      <c r="F170" s="5" t="n"/>
      <c r="G170" s="4" t="n"/>
      <c r="H170" s="5" t="n"/>
    </row>
    <row r="171" ht="24" customHeight="1">
      <c r="A171" s="54" t="n">
        <v>168</v>
      </c>
      <c r="B171" s="55" t="n"/>
      <c r="C171" s="54" t="n"/>
      <c r="D171" s="55" t="n"/>
      <c r="E171" s="54" t="n"/>
      <c r="F171" s="55" t="n"/>
      <c r="G171" s="54" t="n"/>
      <c r="H171" s="55" t="n"/>
    </row>
    <row r="172" ht="24" customHeight="1">
      <c r="A172" s="4" t="n">
        <v>169</v>
      </c>
      <c r="B172" s="5" t="n"/>
      <c r="C172" s="4" t="n"/>
      <c r="D172" s="5" t="n"/>
      <c r="E172" s="4" t="n"/>
      <c r="F172" s="5" t="n"/>
      <c r="G172" s="4" t="n"/>
      <c r="H172" s="5" t="n"/>
    </row>
    <row r="173" ht="24" customHeight="1">
      <c r="A173" s="54" t="n">
        <v>170</v>
      </c>
      <c r="B173" s="55" t="n"/>
      <c r="C173" s="54" t="n"/>
      <c r="D173" s="55" t="n"/>
      <c r="E173" s="54" t="n"/>
      <c r="F173" s="55" t="n"/>
      <c r="G173" s="54" t="n"/>
      <c r="H173" s="55" t="n"/>
    </row>
    <row r="174" ht="24" customHeight="1">
      <c r="A174" s="4" t="n">
        <v>171</v>
      </c>
      <c r="B174" s="5" t="n"/>
      <c r="C174" s="4" t="n"/>
      <c r="D174" s="5" t="n"/>
      <c r="E174" s="4" t="n"/>
      <c r="F174" s="5" t="n"/>
      <c r="G174" s="4" t="n"/>
      <c r="H174" s="5" t="n"/>
    </row>
    <row r="175" ht="24" customHeight="1">
      <c r="A175" s="54" t="n">
        <v>172</v>
      </c>
      <c r="B175" s="55" t="n"/>
      <c r="C175" s="54" t="n"/>
      <c r="D175" s="55" t="n"/>
      <c r="E175" s="54" t="n"/>
      <c r="F175" s="55" t="n"/>
      <c r="G175" s="54" t="n"/>
      <c r="H175" s="55" t="n"/>
    </row>
    <row r="176" ht="24" customHeight="1">
      <c r="A176" s="4" t="n">
        <v>173</v>
      </c>
      <c r="B176" s="5" t="n"/>
      <c r="C176" s="4" t="n"/>
      <c r="D176" s="5" t="n"/>
      <c r="E176" s="4" t="n"/>
      <c r="F176" s="5" t="n"/>
      <c r="G176" s="4" t="n"/>
      <c r="H176" s="5" t="n"/>
    </row>
    <row r="177" ht="24" customHeight="1">
      <c r="A177" s="54" t="n">
        <v>174</v>
      </c>
      <c r="B177" s="55" t="n"/>
      <c r="C177" s="54" t="n"/>
      <c r="D177" s="55" t="n"/>
      <c r="E177" s="54" t="n"/>
      <c r="F177" s="55" t="n"/>
      <c r="G177" s="54" t="n"/>
      <c r="H177" s="55" t="n"/>
    </row>
    <row r="178" ht="24" customHeight="1">
      <c r="A178" s="4" t="n">
        <v>175</v>
      </c>
      <c r="B178" s="5" t="n"/>
      <c r="C178" s="4" t="n"/>
      <c r="D178" s="5" t="n"/>
      <c r="E178" s="4" t="n"/>
      <c r="F178" s="5" t="n"/>
      <c r="G178" s="4" t="n"/>
      <c r="H178" s="5" t="n"/>
    </row>
    <row r="179" ht="24" customHeight="1">
      <c r="A179" s="54" t="n">
        <v>176</v>
      </c>
      <c r="B179" s="55" t="n"/>
      <c r="C179" s="54" t="n"/>
      <c r="D179" s="55" t="n"/>
      <c r="E179" s="54" t="n"/>
      <c r="F179" s="55" t="n"/>
      <c r="G179" s="54" t="n"/>
      <c r="H179" s="55" t="n"/>
    </row>
    <row r="180" ht="24" customHeight="1">
      <c r="A180" s="4" t="n">
        <v>177</v>
      </c>
      <c r="B180" s="5" t="n"/>
      <c r="C180" s="4" t="n"/>
      <c r="D180" s="5" t="n"/>
      <c r="E180" s="4" t="n"/>
      <c r="F180" s="5" t="n"/>
      <c r="G180" s="4" t="n"/>
      <c r="H180" s="5" t="n"/>
    </row>
    <row r="181" ht="24" customHeight="1">
      <c r="A181" s="54" t="n">
        <v>178</v>
      </c>
      <c r="B181" s="55" t="n"/>
      <c r="C181" s="54" t="n"/>
      <c r="D181" s="55" t="n"/>
      <c r="E181" s="54" t="n"/>
      <c r="F181" s="55" t="n"/>
      <c r="G181" s="54" t="n"/>
      <c r="H181" s="55" t="n"/>
    </row>
    <row r="182" ht="24" customHeight="1">
      <c r="A182" s="4" t="n">
        <v>179</v>
      </c>
      <c r="B182" s="5" t="n"/>
      <c r="C182" s="4" t="n"/>
      <c r="D182" s="5" t="n"/>
      <c r="E182" s="4" t="n"/>
      <c r="F182" s="5" t="n"/>
      <c r="G182" s="4" t="n"/>
      <c r="H182" s="5" t="n"/>
    </row>
    <row r="183" ht="24" customHeight="1">
      <c r="A183" s="54" t="n">
        <v>180</v>
      </c>
      <c r="B183" s="55" t="n"/>
      <c r="C183" s="54" t="n"/>
      <c r="D183" s="55" t="n"/>
      <c r="E183" s="54" t="n"/>
      <c r="F183" s="55" t="n"/>
      <c r="G183" s="54" t="n"/>
      <c r="H183" s="55" t="n"/>
    </row>
    <row r="184" ht="24" customHeight="1">
      <c r="A184" s="4" t="n">
        <v>181</v>
      </c>
      <c r="B184" s="5" t="n"/>
      <c r="C184" s="4" t="n"/>
      <c r="D184" s="5" t="n"/>
      <c r="E184" s="4" t="n"/>
      <c r="F184" s="5" t="n"/>
      <c r="G184" s="4" t="n"/>
      <c r="H184" s="5" t="n"/>
    </row>
    <row r="185" ht="24" customHeight="1">
      <c r="A185" s="54" t="n">
        <v>182</v>
      </c>
      <c r="B185" s="55" t="n"/>
      <c r="C185" s="54" t="n"/>
      <c r="D185" s="55" t="n"/>
      <c r="E185" s="54" t="n"/>
      <c r="F185" s="55" t="n"/>
      <c r="G185" s="54" t="n"/>
      <c r="H185" s="55" t="n"/>
    </row>
    <row r="186" ht="24" customHeight="1">
      <c r="A186" s="4" t="n">
        <v>183</v>
      </c>
      <c r="B186" s="5" t="n"/>
      <c r="C186" s="4" t="n"/>
      <c r="D186" s="5" t="n"/>
      <c r="E186" s="4" t="n"/>
      <c r="F186" s="5" t="n"/>
      <c r="G186" s="4" t="n"/>
      <c r="H186" s="5" t="n"/>
    </row>
    <row r="187" ht="24" customHeight="1">
      <c r="A187" s="54" t="n">
        <v>184</v>
      </c>
      <c r="B187" s="55" t="n"/>
      <c r="C187" s="54" t="n"/>
      <c r="D187" s="55" t="n"/>
      <c r="E187" s="54" t="n"/>
      <c r="F187" s="55" t="n"/>
      <c r="G187" s="54" t="n"/>
      <c r="H187" s="55" t="n"/>
    </row>
    <row r="188" ht="24" customHeight="1">
      <c r="A188" s="4" t="n">
        <v>185</v>
      </c>
      <c r="B188" s="5" t="n"/>
      <c r="C188" s="4" t="n"/>
      <c r="D188" s="5" t="n"/>
      <c r="E188" s="4" t="n"/>
      <c r="F188" s="5" t="n"/>
      <c r="G188" s="4" t="n"/>
      <c r="H188" s="5" t="n"/>
    </row>
    <row r="189" ht="24" customHeight="1">
      <c r="A189" s="54" t="n">
        <v>186</v>
      </c>
      <c r="B189" s="55" t="n"/>
      <c r="C189" s="54" t="n"/>
      <c r="D189" s="55" t="n"/>
      <c r="E189" s="54" t="n"/>
      <c r="F189" s="55" t="n"/>
      <c r="G189" s="54" t="n"/>
      <c r="H189" s="55" t="n"/>
    </row>
    <row r="190" ht="24" customHeight="1">
      <c r="A190" s="4" t="n">
        <v>187</v>
      </c>
      <c r="B190" s="5" t="n"/>
      <c r="C190" s="4" t="n"/>
      <c r="D190" s="5" t="n"/>
      <c r="E190" s="4" t="n"/>
      <c r="F190" s="5" t="n"/>
      <c r="G190" s="4" t="n"/>
      <c r="H190" s="5" t="n"/>
    </row>
    <row r="191" ht="24" customHeight="1">
      <c r="A191" s="54" t="n">
        <v>188</v>
      </c>
      <c r="B191" s="55" t="n"/>
      <c r="C191" s="54" t="n"/>
      <c r="D191" s="55" t="n"/>
      <c r="E191" s="54" t="n"/>
      <c r="F191" s="55" t="n"/>
      <c r="G191" s="54" t="n"/>
      <c r="H191" s="55" t="n"/>
    </row>
    <row r="192" ht="24" customHeight="1">
      <c r="A192" s="4" t="n">
        <v>189</v>
      </c>
      <c r="B192" s="5" t="n"/>
      <c r="C192" s="4" t="n"/>
      <c r="D192" s="5" t="n"/>
      <c r="E192" s="4" t="n"/>
      <c r="F192" s="5" t="n"/>
      <c r="G192" s="4" t="n"/>
      <c r="H192" s="5" t="n"/>
    </row>
    <row r="193" ht="24" customHeight="1">
      <c r="A193" s="54" t="n">
        <v>190</v>
      </c>
      <c r="B193" s="55" t="n"/>
      <c r="C193" s="54" t="n"/>
      <c r="D193" s="55" t="n"/>
      <c r="E193" s="54" t="n"/>
      <c r="F193" s="55" t="n"/>
      <c r="G193" s="54" t="n"/>
      <c r="H193" s="55" t="n"/>
    </row>
    <row r="194" ht="24" customHeight="1">
      <c r="A194" s="4" t="n">
        <v>191</v>
      </c>
      <c r="B194" s="5" t="n"/>
      <c r="C194" s="4" t="n"/>
      <c r="D194" s="5" t="n"/>
      <c r="E194" s="4" t="n"/>
      <c r="F194" s="5" t="n"/>
      <c r="G194" s="4" t="n"/>
      <c r="H194" s="5" t="n"/>
    </row>
    <row r="195" ht="24" customHeight="1">
      <c r="A195" s="54" t="n">
        <v>192</v>
      </c>
      <c r="B195" s="55" t="n"/>
      <c r="C195" s="54" t="n"/>
      <c r="D195" s="55" t="n"/>
      <c r="E195" s="54" t="n"/>
      <c r="F195" s="55" t="n"/>
      <c r="G195" s="54" t="n"/>
      <c r="H195" s="55" t="n"/>
    </row>
    <row r="196" ht="24" customHeight="1">
      <c r="A196" s="4" t="n">
        <v>193</v>
      </c>
      <c r="B196" s="5" t="n"/>
      <c r="C196" s="4" t="n"/>
      <c r="D196" s="5" t="n"/>
      <c r="E196" s="4" t="n"/>
      <c r="F196" s="5" t="n"/>
      <c r="G196" s="4" t="n"/>
      <c r="H196" s="5" t="n"/>
    </row>
    <row r="197" ht="24" customHeight="1">
      <c r="A197" s="54" t="n">
        <v>194</v>
      </c>
      <c r="B197" s="55" t="n"/>
      <c r="C197" s="54" t="n"/>
      <c r="D197" s="55" t="n"/>
      <c r="E197" s="54" t="n"/>
      <c r="F197" s="55" t="n"/>
      <c r="G197" s="54" t="n"/>
      <c r="H197" s="55" t="n"/>
    </row>
    <row r="198" ht="24" customHeight="1">
      <c r="A198" s="4" t="n">
        <v>195</v>
      </c>
      <c r="B198" s="5" t="n"/>
      <c r="C198" s="4" t="n"/>
      <c r="D198" s="5" t="n"/>
      <c r="E198" s="4" t="n"/>
      <c r="F198" s="5" t="n"/>
      <c r="G198" s="4" t="n"/>
      <c r="H198" s="5" t="n"/>
    </row>
    <row r="199" ht="24" customHeight="1">
      <c r="A199" s="54" t="n">
        <v>196</v>
      </c>
      <c r="B199" s="55" t="n"/>
      <c r="C199" s="54" t="n"/>
      <c r="D199" s="55" t="n"/>
      <c r="E199" s="54" t="n"/>
      <c r="F199" s="55" t="n"/>
      <c r="G199" s="54" t="n"/>
      <c r="H199" s="55" t="n"/>
    </row>
    <row r="200" ht="24" customHeight="1">
      <c r="A200" s="4" t="n">
        <v>197</v>
      </c>
      <c r="B200" s="5" t="n"/>
      <c r="C200" s="4" t="n"/>
      <c r="D200" s="5" t="n"/>
      <c r="E200" s="4" t="n"/>
      <c r="F200" s="5" t="n"/>
      <c r="G200" s="4" t="n"/>
      <c r="H200" s="5" t="n"/>
    </row>
    <row r="201" ht="24" customHeight="1">
      <c r="A201" s="54" t="n">
        <v>198</v>
      </c>
      <c r="B201" s="55" t="n"/>
      <c r="C201" s="54" t="n"/>
      <c r="D201" s="55" t="n"/>
      <c r="E201" s="54" t="n"/>
      <c r="F201" s="55" t="n"/>
      <c r="G201" s="54" t="n"/>
      <c r="H201" s="55" t="n"/>
    </row>
    <row r="202" ht="24" customHeight="1">
      <c r="A202" s="4" t="n">
        <v>199</v>
      </c>
      <c r="B202" s="5" t="n"/>
      <c r="C202" s="4" t="n"/>
      <c r="D202" s="5" t="n"/>
      <c r="E202" s="4" t="n"/>
      <c r="F202" s="5" t="n"/>
      <c r="G202" s="4" t="n"/>
      <c r="H202" s="5" t="n"/>
    </row>
    <row r="203" ht="24" customHeight="1">
      <c r="A203" s="54" t="n">
        <v>200</v>
      </c>
      <c r="B203" s="55" t="n"/>
      <c r="C203" s="54" t="n"/>
      <c r="D203" s="55" t="n"/>
      <c r="E203" s="54" t="n"/>
      <c r="F203" s="55" t="n"/>
      <c r="G203" s="54" t="n"/>
      <c r="H203" s="55" t="n"/>
    </row>
  </sheetData>
  <mergeCells count="2">
    <mergeCell ref="A2:H2"/>
    <mergeCell ref="A1:H1"/>
  </mergeCells>
  <dataValidations count="600">
    <dataValidation sqref="C4" showDropDown="0" showInputMessage="0" showErrorMessage="0" allowBlank="1" type="list">
      <formula1>'⚙️ Config'!$A$2:$A$9</formula1>
    </dataValidation>
    <dataValidation sqref="E4" showDropDown="0" showInputMessage="0" showErrorMessage="0" allowBlank="1" type="list">
      <formula1>'🛤️ Learning Paths'!$B$4:$B$103</formula1>
    </dataValidation>
    <dataValidation sqref="G4" showDropDown="0" showInputMessage="0" showErrorMessage="0" allowBlank="1" type="list">
      <formula1>'⚙️ Config'!$G$2:$G$7</formula1>
    </dataValidation>
    <dataValidation sqref="C5" showDropDown="0" showInputMessage="0" showErrorMessage="0" allowBlank="1" type="list">
      <formula1>'⚙️ Config'!$A$2:$A$9</formula1>
    </dataValidation>
    <dataValidation sqref="E5" showDropDown="0" showInputMessage="0" showErrorMessage="0" allowBlank="1" type="list">
      <formula1>'🛤️ Learning Paths'!$B$4:$B$103</formula1>
    </dataValidation>
    <dataValidation sqref="G5" showDropDown="0" showInputMessage="0" showErrorMessage="0" allowBlank="1" type="list">
      <formula1>'⚙️ Config'!$G$2:$G$7</formula1>
    </dataValidation>
    <dataValidation sqref="C6" showDropDown="0" showInputMessage="0" showErrorMessage="0" allowBlank="1" type="list">
      <formula1>'⚙️ Config'!$A$2:$A$9</formula1>
    </dataValidation>
    <dataValidation sqref="E6" showDropDown="0" showInputMessage="0" showErrorMessage="0" allowBlank="1" type="list">
      <formula1>'🛤️ Learning Paths'!$B$4:$B$103</formula1>
    </dataValidation>
    <dataValidation sqref="G6" showDropDown="0" showInputMessage="0" showErrorMessage="0" allowBlank="1" type="list">
      <formula1>'⚙️ Config'!$G$2:$G$7</formula1>
    </dataValidation>
    <dataValidation sqref="C7" showDropDown="0" showInputMessage="0" showErrorMessage="0" allowBlank="1" type="list">
      <formula1>'⚙️ Config'!$A$2:$A$9</formula1>
    </dataValidation>
    <dataValidation sqref="E7" showDropDown="0" showInputMessage="0" showErrorMessage="0" allowBlank="1" type="list">
      <formula1>'🛤️ Learning Paths'!$B$4:$B$103</formula1>
    </dataValidation>
    <dataValidation sqref="G7" showDropDown="0" showInputMessage="0" showErrorMessage="0" allowBlank="1" type="list">
      <formula1>'⚙️ Config'!$G$2:$G$7</formula1>
    </dataValidation>
    <dataValidation sqref="C8" showDropDown="0" showInputMessage="0" showErrorMessage="0" allowBlank="1" type="list">
      <formula1>'⚙️ Config'!$A$2:$A$9</formula1>
    </dataValidation>
    <dataValidation sqref="E8" showDropDown="0" showInputMessage="0" showErrorMessage="0" allowBlank="1" type="list">
      <formula1>'🛤️ Learning Paths'!$B$4:$B$103</formula1>
    </dataValidation>
    <dataValidation sqref="G8" showDropDown="0" showInputMessage="0" showErrorMessage="0" allowBlank="1" type="list">
      <formula1>'⚙️ Config'!$G$2:$G$7</formula1>
    </dataValidation>
    <dataValidation sqref="C9" showDropDown="0" showInputMessage="0" showErrorMessage="0" allowBlank="1" type="list">
      <formula1>'⚙️ Config'!$A$2:$A$9</formula1>
    </dataValidation>
    <dataValidation sqref="E9" showDropDown="0" showInputMessage="0" showErrorMessage="0" allowBlank="1" type="list">
      <formula1>'🛤️ Learning Paths'!$B$4:$B$103</formula1>
    </dataValidation>
    <dataValidation sqref="G9" showDropDown="0" showInputMessage="0" showErrorMessage="0" allowBlank="1" type="list">
      <formula1>'⚙️ Config'!$G$2:$G$7</formula1>
    </dataValidation>
    <dataValidation sqref="C10" showDropDown="0" showInputMessage="0" showErrorMessage="0" allowBlank="1" type="list">
      <formula1>'⚙️ Config'!$A$2:$A$9</formula1>
    </dataValidation>
    <dataValidation sqref="E10" showDropDown="0" showInputMessage="0" showErrorMessage="0" allowBlank="1" type="list">
      <formula1>'🛤️ Learning Paths'!$B$4:$B$103</formula1>
    </dataValidation>
    <dataValidation sqref="G10" showDropDown="0" showInputMessage="0" showErrorMessage="0" allowBlank="1" type="list">
      <formula1>'⚙️ Config'!$G$2:$G$7</formula1>
    </dataValidation>
    <dataValidation sqref="C11" showDropDown="0" showInputMessage="0" showErrorMessage="0" allowBlank="1" type="list">
      <formula1>'⚙️ Config'!$A$2:$A$9</formula1>
    </dataValidation>
    <dataValidation sqref="E11" showDropDown="0" showInputMessage="0" showErrorMessage="0" allowBlank="1" type="list">
      <formula1>'🛤️ Learning Paths'!$B$4:$B$103</formula1>
    </dataValidation>
    <dataValidation sqref="G11" showDropDown="0" showInputMessage="0" showErrorMessage="0" allowBlank="1" type="list">
      <formula1>'⚙️ Config'!$G$2:$G$7</formula1>
    </dataValidation>
    <dataValidation sqref="C12" showDropDown="0" showInputMessage="0" showErrorMessage="0" allowBlank="1" type="list">
      <formula1>'⚙️ Config'!$A$2:$A$9</formula1>
    </dataValidation>
    <dataValidation sqref="E12" showDropDown="0" showInputMessage="0" showErrorMessage="0" allowBlank="1" type="list">
      <formula1>'🛤️ Learning Paths'!$B$4:$B$103</formula1>
    </dataValidation>
    <dataValidation sqref="G12" showDropDown="0" showInputMessage="0" showErrorMessage="0" allowBlank="1" type="list">
      <formula1>'⚙️ Config'!$G$2:$G$7</formula1>
    </dataValidation>
    <dataValidation sqref="C13" showDropDown="0" showInputMessage="0" showErrorMessage="0" allowBlank="1" type="list">
      <formula1>'⚙️ Config'!$A$2:$A$9</formula1>
    </dataValidation>
    <dataValidation sqref="E13" showDropDown="0" showInputMessage="0" showErrorMessage="0" allowBlank="1" type="list">
      <formula1>'🛤️ Learning Paths'!$B$4:$B$103</formula1>
    </dataValidation>
    <dataValidation sqref="G13" showDropDown="0" showInputMessage="0" showErrorMessage="0" allowBlank="1" type="list">
      <formula1>'⚙️ Config'!$G$2:$G$7</formula1>
    </dataValidation>
    <dataValidation sqref="C14" showDropDown="0" showInputMessage="0" showErrorMessage="0" allowBlank="1" type="list">
      <formula1>'⚙️ Config'!$A$2:$A$9</formula1>
    </dataValidation>
    <dataValidation sqref="E14" showDropDown="0" showInputMessage="0" showErrorMessage="0" allowBlank="1" type="list">
      <formula1>'🛤️ Learning Paths'!$B$4:$B$103</formula1>
    </dataValidation>
    <dataValidation sqref="G14" showDropDown="0" showInputMessage="0" showErrorMessage="0" allowBlank="1" type="list">
      <formula1>'⚙️ Config'!$G$2:$G$7</formula1>
    </dataValidation>
    <dataValidation sqref="C15" showDropDown="0" showInputMessage="0" showErrorMessage="0" allowBlank="1" type="list">
      <formula1>'⚙️ Config'!$A$2:$A$9</formula1>
    </dataValidation>
    <dataValidation sqref="E15" showDropDown="0" showInputMessage="0" showErrorMessage="0" allowBlank="1" type="list">
      <formula1>'🛤️ Learning Paths'!$B$4:$B$103</formula1>
    </dataValidation>
    <dataValidation sqref="G15" showDropDown="0" showInputMessage="0" showErrorMessage="0" allowBlank="1" type="list">
      <formula1>'⚙️ Config'!$G$2:$G$7</formula1>
    </dataValidation>
    <dataValidation sqref="C16" showDropDown="0" showInputMessage="0" showErrorMessage="0" allowBlank="1" type="list">
      <formula1>'⚙️ Config'!$A$2:$A$9</formula1>
    </dataValidation>
    <dataValidation sqref="E16" showDropDown="0" showInputMessage="0" showErrorMessage="0" allowBlank="1" type="list">
      <formula1>'🛤️ Learning Paths'!$B$4:$B$103</formula1>
    </dataValidation>
    <dataValidation sqref="G16" showDropDown="0" showInputMessage="0" showErrorMessage="0" allowBlank="1" type="list">
      <formula1>'⚙️ Config'!$G$2:$G$7</formula1>
    </dataValidation>
    <dataValidation sqref="C17" showDropDown="0" showInputMessage="0" showErrorMessage="0" allowBlank="1" type="list">
      <formula1>'⚙️ Config'!$A$2:$A$9</formula1>
    </dataValidation>
    <dataValidation sqref="E17" showDropDown="0" showInputMessage="0" showErrorMessage="0" allowBlank="1" type="list">
      <formula1>'🛤️ Learning Paths'!$B$4:$B$103</formula1>
    </dataValidation>
    <dataValidation sqref="G17" showDropDown="0" showInputMessage="0" showErrorMessage="0" allowBlank="1" type="list">
      <formula1>'⚙️ Config'!$G$2:$G$7</formula1>
    </dataValidation>
    <dataValidation sqref="C18" showDropDown="0" showInputMessage="0" showErrorMessage="0" allowBlank="1" type="list">
      <formula1>'⚙️ Config'!$A$2:$A$9</formula1>
    </dataValidation>
    <dataValidation sqref="E18" showDropDown="0" showInputMessage="0" showErrorMessage="0" allowBlank="1" type="list">
      <formula1>'🛤️ Learning Paths'!$B$4:$B$103</formula1>
    </dataValidation>
    <dataValidation sqref="G18" showDropDown="0" showInputMessage="0" showErrorMessage="0" allowBlank="1" type="list">
      <formula1>'⚙️ Config'!$G$2:$G$7</formula1>
    </dataValidation>
    <dataValidation sqref="C19" showDropDown="0" showInputMessage="0" showErrorMessage="0" allowBlank="1" type="list">
      <formula1>'⚙️ Config'!$A$2:$A$9</formula1>
    </dataValidation>
    <dataValidation sqref="E19" showDropDown="0" showInputMessage="0" showErrorMessage="0" allowBlank="1" type="list">
      <formula1>'🛤️ Learning Paths'!$B$4:$B$103</formula1>
    </dataValidation>
    <dataValidation sqref="G19" showDropDown="0" showInputMessage="0" showErrorMessage="0" allowBlank="1" type="list">
      <formula1>'⚙️ Config'!$G$2:$G$7</formula1>
    </dataValidation>
    <dataValidation sqref="C20" showDropDown="0" showInputMessage="0" showErrorMessage="0" allowBlank="1" type="list">
      <formula1>'⚙️ Config'!$A$2:$A$9</formula1>
    </dataValidation>
    <dataValidation sqref="E20" showDropDown="0" showInputMessage="0" showErrorMessage="0" allowBlank="1" type="list">
      <formula1>'🛤️ Learning Paths'!$B$4:$B$103</formula1>
    </dataValidation>
    <dataValidation sqref="G20" showDropDown="0" showInputMessage="0" showErrorMessage="0" allowBlank="1" type="list">
      <formula1>'⚙️ Config'!$G$2:$G$7</formula1>
    </dataValidation>
    <dataValidation sqref="C21" showDropDown="0" showInputMessage="0" showErrorMessage="0" allowBlank="1" type="list">
      <formula1>'⚙️ Config'!$A$2:$A$9</formula1>
    </dataValidation>
    <dataValidation sqref="E21" showDropDown="0" showInputMessage="0" showErrorMessage="0" allowBlank="1" type="list">
      <formula1>'🛤️ Learning Paths'!$B$4:$B$103</formula1>
    </dataValidation>
    <dataValidation sqref="G21" showDropDown="0" showInputMessage="0" showErrorMessage="0" allowBlank="1" type="list">
      <formula1>'⚙️ Config'!$G$2:$G$7</formula1>
    </dataValidation>
    <dataValidation sqref="C22" showDropDown="0" showInputMessage="0" showErrorMessage="0" allowBlank="1" type="list">
      <formula1>'⚙️ Config'!$A$2:$A$9</formula1>
    </dataValidation>
    <dataValidation sqref="E22" showDropDown="0" showInputMessage="0" showErrorMessage="0" allowBlank="1" type="list">
      <formula1>'🛤️ Learning Paths'!$B$4:$B$103</formula1>
    </dataValidation>
    <dataValidation sqref="G22" showDropDown="0" showInputMessage="0" showErrorMessage="0" allowBlank="1" type="list">
      <formula1>'⚙️ Config'!$G$2:$G$7</formula1>
    </dataValidation>
    <dataValidation sqref="C23" showDropDown="0" showInputMessage="0" showErrorMessage="0" allowBlank="1" type="list">
      <formula1>'⚙️ Config'!$A$2:$A$9</formula1>
    </dataValidation>
    <dataValidation sqref="E23" showDropDown="0" showInputMessage="0" showErrorMessage="0" allowBlank="1" type="list">
      <formula1>'🛤️ Learning Paths'!$B$4:$B$103</formula1>
    </dataValidation>
    <dataValidation sqref="G23" showDropDown="0" showInputMessage="0" showErrorMessage="0" allowBlank="1" type="list">
      <formula1>'⚙️ Config'!$G$2:$G$7</formula1>
    </dataValidation>
    <dataValidation sqref="C24" showDropDown="0" showInputMessage="0" showErrorMessage="0" allowBlank="1" type="list">
      <formula1>'⚙️ Config'!$A$2:$A$9</formula1>
    </dataValidation>
    <dataValidation sqref="E24" showDropDown="0" showInputMessage="0" showErrorMessage="0" allowBlank="1" type="list">
      <formula1>'🛤️ Learning Paths'!$B$4:$B$103</formula1>
    </dataValidation>
    <dataValidation sqref="G24" showDropDown="0" showInputMessage="0" showErrorMessage="0" allowBlank="1" type="list">
      <formula1>'⚙️ Config'!$G$2:$G$7</formula1>
    </dataValidation>
    <dataValidation sqref="C25" showDropDown="0" showInputMessage="0" showErrorMessage="0" allowBlank="1" type="list">
      <formula1>'⚙️ Config'!$A$2:$A$9</formula1>
    </dataValidation>
    <dataValidation sqref="E25" showDropDown="0" showInputMessage="0" showErrorMessage="0" allowBlank="1" type="list">
      <formula1>'🛤️ Learning Paths'!$B$4:$B$103</formula1>
    </dataValidation>
    <dataValidation sqref="G25" showDropDown="0" showInputMessage="0" showErrorMessage="0" allowBlank="1" type="list">
      <formula1>'⚙️ Config'!$G$2:$G$7</formula1>
    </dataValidation>
    <dataValidation sqref="C26" showDropDown="0" showInputMessage="0" showErrorMessage="0" allowBlank="1" type="list">
      <formula1>'⚙️ Config'!$A$2:$A$9</formula1>
    </dataValidation>
    <dataValidation sqref="E26" showDropDown="0" showInputMessage="0" showErrorMessage="0" allowBlank="1" type="list">
      <formula1>'🛤️ Learning Paths'!$B$4:$B$103</formula1>
    </dataValidation>
    <dataValidation sqref="G26" showDropDown="0" showInputMessage="0" showErrorMessage="0" allowBlank="1" type="list">
      <formula1>'⚙️ Config'!$G$2:$G$7</formula1>
    </dataValidation>
    <dataValidation sqref="C27" showDropDown="0" showInputMessage="0" showErrorMessage="0" allowBlank="1" type="list">
      <formula1>'⚙️ Config'!$A$2:$A$9</formula1>
    </dataValidation>
    <dataValidation sqref="E27" showDropDown="0" showInputMessage="0" showErrorMessage="0" allowBlank="1" type="list">
      <formula1>'🛤️ Learning Paths'!$B$4:$B$103</formula1>
    </dataValidation>
    <dataValidation sqref="G27" showDropDown="0" showInputMessage="0" showErrorMessage="0" allowBlank="1" type="list">
      <formula1>'⚙️ Config'!$G$2:$G$7</formula1>
    </dataValidation>
    <dataValidation sqref="C28" showDropDown="0" showInputMessage="0" showErrorMessage="0" allowBlank="1" type="list">
      <formula1>'⚙️ Config'!$A$2:$A$9</formula1>
    </dataValidation>
    <dataValidation sqref="E28" showDropDown="0" showInputMessage="0" showErrorMessage="0" allowBlank="1" type="list">
      <formula1>'🛤️ Learning Paths'!$B$4:$B$103</formula1>
    </dataValidation>
    <dataValidation sqref="G28" showDropDown="0" showInputMessage="0" showErrorMessage="0" allowBlank="1" type="list">
      <formula1>'⚙️ Config'!$G$2:$G$7</formula1>
    </dataValidation>
    <dataValidation sqref="C29" showDropDown="0" showInputMessage="0" showErrorMessage="0" allowBlank="1" type="list">
      <formula1>'⚙️ Config'!$A$2:$A$9</formula1>
    </dataValidation>
    <dataValidation sqref="E29" showDropDown="0" showInputMessage="0" showErrorMessage="0" allowBlank="1" type="list">
      <formula1>'🛤️ Learning Paths'!$B$4:$B$103</formula1>
    </dataValidation>
    <dataValidation sqref="G29" showDropDown="0" showInputMessage="0" showErrorMessage="0" allowBlank="1" type="list">
      <formula1>'⚙️ Config'!$G$2:$G$7</formula1>
    </dataValidation>
    <dataValidation sqref="C30" showDropDown="0" showInputMessage="0" showErrorMessage="0" allowBlank="1" type="list">
      <formula1>'⚙️ Config'!$A$2:$A$9</formula1>
    </dataValidation>
    <dataValidation sqref="E30" showDropDown="0" showInputMessage="0" showErrorMessage="0" allowBlank="1" type="list">
      <formula1>'🛤️ Learning Paths'!$B$4:$B$103</formula1>
    </dataValidation>
    <dataValidation sqref="G30" showDropDown="0" showInputMessage="0" showErrorMessage="0" allowBlank="1" type="list">
      <formula1>'⚙️ Config'!$G$2:$G$7</formula1>
    </dataValidation>
    <dataValidation sqref="C31" showDropDown="0" showInputMessage="0" showErrorMessage="0" allowBlank="1" type="list">
      <formula1>'⚙️ Config'!$A$2:$A$9</formula1>
    </dataValidation>
    <dataValidation sqref="E31" showDropDown="0" showInputMessage="0" showErrorMessage="0" allowBlank="1" type="list">
      <formula1>'🛤️ Learning Paths'!$B$4:$B$103</formula1>
    </dataValidation>
    <dataValidation sqref="G31" showDropDown="0" showInputMessage="0" showErrorMessage="0" allowBlank="1" type="list">
      <formula1>'⚙️ Config'!$G$2:$G$7</formula1>
    </dataValidation>
    <dataValidation sqref="C32" showDropDown="0" showInputMessage="0" showErrorMessage="0" allowBlank="1" type="list">
      <formula1>'⚙️ Config'!$A$2:$A$9</formula1>
    </dataValidation>
    <dataValidation sqref="E32" showDropDown="0" showInputMessage="0" showErrorMessage="0" allowBlank="1" type="list">
      <formula1>'🛤️ Learning Paths'!$B$4:$B$103</formula1>
    </dataValidation>
    <dataValidation sqref="G32" showDropDown="0" showInputMessage="0" showErrorMessage="0" allowBlank="1" type="list">
      <formula1>'⚙️ Config'!$G$2:$G$7</formula1>
    </dataValidation>
    <dataValidation sqref="C33" showDropDown="0" showInputMessage="0" showErrorMessage="0" allowBlank="1" type="list">
      <formula1>'⚙️ Config'!$A$2:$A$9</formula1>
    </dataValidation>
    <dataValidation sqref="E33" showDropDown="0" showInputMessage="0" showErrorMessage="0" allowBlank="1" type="list">
      <formula1>'🛤️ Learning Paths'!$B$4:$B$103</formula1>
    </dataValidation>
    <dataValidation sqref="G33" showDropDown="0" showInputMessage="0" showErrorMessage="0" allowBlank="1" type="list">
      <formula1>'⚙️ Config'!$G$2:$G$7</formula1>
    </dataValidation>
    <dataValidation sqref="C34" showDropDown="0" showInputMessage="0" showErrorMessage="0" allowBlank="1" type="list">
      <formula1>'⚙️ Config'!$A$2:$A$9</formula1>
    </dataValidation>
    <dataValidation sqref="E34" showDropDown="0" showInputMessage="0" showErrorMessage="0" allowBlank="1" type="list">
      <formula1>'🛤️ Learning Paths'!$B$4:$B$103</formula1>
    </dataValidation>
    <dataValidation sqref="G34" showDropDown="0" showInputMessage="0" showErrorMessage="0" allowBlank="1" type="list">
      <formula1>'⚙️ Config'!$G$2:$G$7</formula1>
    </dataValidation>
    <dataValidation sqref="C35" showDropDown="0" showInputMessage="0" showErrorMessage="0" allowBlank="1" type="list">
      <formula1>'⚙️ Config'!$A$2:$A$9</formula1>
    </dataValidation>
    <dataValidation sqref="E35" showDropDown="0" showInputMessage="0" showErrorMessage="0" allowBlank="1" type="list">
      <formula1>'🛤️ Learning Paths'!$B$4:$B$103</formula1>
    </dataValidation>
    <dataValidation sqref="G35" showDropDown="0" showInputMessage="0" showErrorMessage="0" allowBlank="1" type="list">
      <formula1>'⚙️ Config'!$G$2:$G$7</formula1>
    </dataValidation>
    <dataValidation sqref="C36" showDropDown="0" showInputMessage="0" showErrorMessage="0" allowBlank="1" type="list">
      <formula1>'⚙️ Config'!$A$2:$A$9</formula1>
    </dataValidation>
    <dataValidation sqref="E36" showDropDown="0" showInputMessage="0" showErrorMessage="0" allowBlank="1" type="list">
      <formula1>'🛤️ Learning Paths'!$B$4:$B$103</formula1>
    </dataValidation>
    <dataValidation sqref="G36" showDropDown="0" showInputMessage="0" showErrorMessage="0" allowBlank="1" type="list">
      <formula1>'⚙️ Config'!$G$2:$G$7</formula1>
    </dataValidation>
    <dataValidation sqref="C37" showDropDown="0" showInputMessage="0" showErrorMessage="0" allowBlank="1" type="list">
      <formula1>'⚙️ Config'!$A$2:$A$9</formula1>
    </dataValidation>
    <dataValidation sqref="E37" showDropDown="0" showInputMessage="0" showErrorMessage="0" allowBlank="1" type="list">
      <formula1>'🛤️ Learning Paths'!$B$4:$B$103</formula1>
    </dataValidation>
    <dataValidation sqref="G37" showDropDown="0" showInputMessage="0" showErrorMessage="0" allowBlank="1" type="list">
      <formula1>'⚙️ Config'!$G$2:$G$7</formula1>
    </dataValidation>
    <dataValidation sqref="C38" showDropDown="0" showInputMessage="0" showErrorMessage="0" allowBlank="1" type="list">
      <formula1>'⚙️ Config'!$A$2:$A$9</formula1>
    </dataValidation>
    <dataValidation sqref="E38" showDropDown="0" showInputMessage="0" showErrorMessage="0" allowBlank="1" type="list">
      <formula1>'🛤️ Learning Paths'!$B$4:$B$103</formula1>
    </dataValidation>
    <dataValidation sqref="G38" showDropDown="0" showInputMessage="0" showErrorMessage="0" allowBlank="1" type="list">
      <formula1>'⚙️ Config'!$G$2:$G$7</formula1>
    </dataValidation>
    <dataValidation sqref="C39" showDropDown="0" showInputMessage="0" showErrorMessage="0" allowBlank="1" type="list">
      <formula1>'⚙️ Config'!$A$2:$A$9</formula1>
    </dataValidation>
    <dataValidation sqref="E39" showDropDown="0" showInputMessage="0" showErrorMessage="0" allowBlank="1" type="list">
      <formula1>'🛤️ Learning Paths'!$B$4:$B$103</formula1>
    </dataValidation>
    <dataValidation sqref="G39" showDropDown="0" showInputMessage="0" showErrorMessage="0" allowBlank="1" type="list">
      <formula1>'⚙️ Config'!$G$2:$G$7</formula1>
    </dataValidation>
    <dataValidation sqref="C40" showDropDown="0" showInputMessage="0" showErrorMessage="0" allowBlank="1" type="list">
      <formula1>'⚙️ Config'!$A$2:$A$9</formula1>
    </dataValidation>
    <dataValidation sqref="E40" showDropDown="0" showInputMessage="0" showErrorMessage="0" allowBlank="1" type="list">
      <formula1>'🛤️ Learning Paths'!$B$4:$B$103</formula1>
    </dataValidation>
    <dataValidation sqref="G40" showDropDown="0" showInputMessage="0" showErrorMessage="0" allowBlank="1" type="list">
      <formula1>'⚙️ Config'!$G$2:$G$7</formula1>
    </dataValidation>
    <dataValidation sqref="C41" showDropDown="0" showInputMessage="0" showErrorMessage="0" allowBlank="1" type="list">
      <formula1>'⚙️ Config'!$A$2:$A$9</formula1>
    </dataValidation>
    <dataValidation sqref="E41" showDropDown="0" showInputMessage="0" showErrorMessage="0" allowBlank="1" type="list">
      <formula1>'🛤️ Learning Paths'!$B$4:$B$103</formula1>
    </dataValidation>
    <dataValidation sqref="G41" showDropDown="0" showInputMessage="0" showErrorMessage="0" allowBlank="1" type="list">
      <formula1>'⚙️ Config'!$G$2:$G$7</formula1>
    </dataValidation>
    <dataValidation sqref="C42" showDropDown="0" showInputMessage="0" showErrorMessage="0" allowBlank="1" type="list">
      <formula1>'⚙️ Config'!$A$2:$A$9</formula1>
    </dataValidation>
    <dataValidation sqref="E42" showDropDown="0" showInputMessage="0" showErrorMessage="0" allowBlank="1" type="list">
      <formula1>'🛤️ Learning Paths'!$B$4:$B$103</formula1>
    </dataValidation>
    <dataValidation sqref="G42" showDropDown="0" showInputMessage="0" showErrorMessage="0" allowBlank="1" type="list">
      <formula1>'⚙️ Config'!$G$2:$G$7</formula1>
    </dataValidation>
    <dataValidation sqref="C43" showDropDown="0" showInputMessage="0" showErrorMessage="0" allowBlank="1" type="list">
      <formula1>'⚙️ Config'!$A$2:$A$9</formula1>
    </dataValidation>
    <dataValidation sqref="E43" showDropDown="0" showInputMessage="0" showErrorMessage="0" allowBlank="1" type="list">
      <formula1>'🛤️ Learning Paths'!$B$4:$B$103</formula1>
    </dataValidation>
    <dataValidation sqref="G43" showDropDown="0" showInputMessage="0" showErrorMessage="0" allowBlank="1" type="list">
      <formula1>'⚙️ Config'!$G$2:$G$7</formula1>
    </dataValidation>
    <dataValidation sqref="C44" showDropDown="0" showInputMessage="0" showErrorMessage="0" allowBlank="1" type="list">
      <formula1>'⚙️ Config'!$A$2:$A$9</formula1>
    </dataValidation>
    <dataValidation sqref="E44" showDropDown="0" showInputMessage="0" showErrorMessage="0" allowBlank="1" type="list">
      <formula1>'🛤️ Learning Paths'!$B$4:$B$103</formula1>
    </dataValidation>
    <dataValidation sqref="G44" showDropDown="0" showInputMessage="0" showErrorMessage="0" allowBlank="1" type="list">
      <formula1>'⚙️ Config'!$G$2:$G$7</formula1>
    </dataValidation>
    <dataValidation sqref="C45" showDropDown="0" showInputMessage="0" showErrorMessage="0" allowBlank="1" type="list">
      <formula1>'⚙️ Config'!$A$2:$A$9</formula1>
    </dataValidation>
    <dataValidation sqref="E45" showDropDown="0" showInputMessage="0" showErrorMessage="0" allowBlank="1" type="list">
      <formula1>'🛤️ Learning Paths'!$B$4:$B$103</formula1>
    </dataValidation>
    <dataValidation sqref="G45" showDropDown="0" showInputMessage="0" showErrorMessage="0" allowBlank="1" type="list">
      <formula1>'⚙️ Config'!$G$2:$G$7</formula1>
    </dataValidation>
    <dataValidation sqref="C46" showDropDown="0" showInputMessage="0" showErrorMessage="0" allowBlank="1" type="list">
      <formula1>'⚙️ Config'!$A$2:$A$9</formula1>
    </dataValidation>
    <dataValidation sqref="E46" showDropDown="0" showInputMessage="0" showErrorMessage="0" allowBlank="1" type="list">
      <formula1>'🛤️ Learning Paths'!$B$4:$B$103</formula1>
    </dataValidation>
    <dataValidation sqref="G46" showDropDown="0" showInputMessage="0" showErrorMessage="0" allowBlank="1" type="list">
      <formula1>'⚙️ Config'!$G$2:$G$7</formula1>
    </dataValidation>
    <dataValidation sqref="C47" showDropDown="0" showInputMessage="0" showErrorMessage="0" allowBlank="1" type="list">
      <formula1>'⚙️ Config'!$A$2:$A$9</formula1>
    </dataValidation>
    <dataValidation sqref="E47" showDropDown="0" showInputMessage="0" showErrorMessage="0" allowBlank="1" type="list">
      <formula1>'🛤️ Learning Paths'!$B$4:$B$103</formula1>
    </dataValidation>
    <dataValidation sqref="G47" showDropDown="0" showInputMessage="0" showErrorMessage="0" allowBlank="1" type="list">
      <formula1>'⚙️ Config'!$G$2:$G$7</formula1>
    </dataValidation>
    <dataValidation sqref="C48" showDropDown="0" showInputMessage="0" showErrorMessage="0" allowBlank="1" type="list">
      <formula1>'⚙️ Config'!$A$2:$A$9</formula1>
    </dataValidation>
    <dataValidation sqref="E48" showDropDown="0" showInputMessage="0" showErrorMessage="0" allowBlank="1" type="list">
      <formula1>'🛤️ Learning Paths'!$B$4:$B$103</formula1>
    </dataValidation>
    <dataValidation sqref="G48" showDropDown="0" showInputMessage="0" showErrorMessage="0" allowBlank="1" type="list">
      <formula1>'⚙️ Config'!$G$2:$G$7</formula1>
    </dataValidation>
    <dataValidation sqref="C49" showDropDown="0" showInputMessage="0" showErrorMessage="0" allowBlank="1" type="list">
      <formula1>'⚙️ Config'!$A$2:$A$9</formula1>
    </dataValidation>
    <dataValidation sqref="E49" showDropDown="0" showInputMessage="0" showErrorMessage="0" allowBlank="1" type="list">
      <formula1>'🛤️ Learning Paths'!$B$4:$B$103</formula1>
    </dataValidation>
    <dataValidation sqref="G49" showDropDown="0" showInputMessage="0" showErrorMessage="0" allowBlank="1" type="list">
      <formula1>'⚙️ Config'!$G$2:$G$7</formula1>
    </dataValidation>
    <dataValidation sqref="C50" showDropDown="0" showInputMessage="0" showErrorMessage="0" allowBlank="1" type="list">
      <formula1>'⚙️ Config'!$A$2:$A$9</formula1>
    </dataValidation>
    <dataValidation sqref="E50" showDropDown="0" showInputMessage="0" showErrorMessage="0" allowBlank="1" type="list">
      <formula1>'🛤️ Learning Paths'!$B$4:$B$103</formula1>
    </dataValidation>
    <dataValidation sqref="G50" showDropDown="0" showInputMessage="0" showErrorMessage="0" allowBlank="1" type="list">
      <formula1>'⚙️ Config'!$G$2:$G$7</formula1>
    </dataValidation>
    <dataValidation sqref="C51" showDropDown="0" showInputMessage="0" showErrorMessage="0" allowBlank="1" type="list">
      <formula1>'⚙️ Config'!$A$2:$A$9</formula1>
    </dataValidation>
    <dataValidation sqref="E51" showDropDown="0" showInputMessage="0" showErrorMessage="0" allowBlank="1" type="list">
      <formula1>'🛤️ Learning Paths'!$B$4:$B$103</formula1>
    </dataValidation>
    <dataValidation sqref="G51" showDropDown="0" showInputMessage="0" showErrorMessage="0" allowBlank="1" type="list">
      <formula1>'⚙️ Config'!$G$2:$G$7</formula1>
    </dataValidation>
    <dataValidation sqref="C52" showDropDown="0" showInputMessage="0" showErrorMessage="0" allowBlank="1" type="list">
      <formula1>'⚙️ Config'!$A$2:$A$9</formula1>
    </dataValidation>
    <dataValidation sqref="E52" showDropDown="0" showInputMessage="0" showErrorMessage="0" allowBlank="1" type="list">
      <formula1>'🛤️ Learning Paths'!$B$4:$B$103</formula1>
    </dataValidation>
    <dataValidation sqref="G52" showDropDown="0" showInputMessage="0" showErrorMessage="0" allowBlank="1" type="list">
      <formula1>'⚙️ Config'!$G$2:$G$7</formula1>
    </dataValidation>
    <dataValidation sqref="C53" showDropDown="0" showInputMessage="0" showErrorMessage="0" allowBlank="1" type="list">
      <formula1>'⚙️ Config'!$A$2:$A$9</formula1>
    </dataValidation>
    <dataValidation sqref="E53" showDropDown="0" showInputMessage="0" showErrorMessage="0" allowBlank="1" type="list">
      <formula1>'🛤️ Learning Paths'!$B$4:$B$103</formula1>
    </dataValidation>
    <dataValidation sqref="G53" showDropDown="0" showInputMessage="0" showErrorMessage="0" allowBlank="1" type="list">
      <formula1>'⚙️ Config'!$G$2:$G$7</formula1>
    </dataValidation>
    <dataValidation sqref="C54" showDropDown="0" showInputMessage="0" showErrorMessage="0" allowBlank="1" type="list">
      <formula1>'⚙️ Config'!$A$2:$A$9</formula1>
    </dataValidation>
    <dataValidation sqref="E54" showDropDown="0" showInputMessage="0" showErrorMessage="0" allowBlank="1" type="list">
      <formula1>'🛤️ Learning Paths'!$B$4:$B$103</formula1>
    </dataValidation>
    <dataValidation sqref="G54" showDropDown="0" showInputMessage="0" showErrorMessage="0" allowBlank="1" type="list">
      <formula1>'⚙️ Config'!$G$2:$G$7</formula1>
    </dataValidation>
    <dataValidation sqref="C55" showDropDown="0" showInputMessage="0" showErrorMessage="0" allowBlank="1" type="list">
      <formula1>'⚙️ Config'!$A$2:$A$9</formula1>
    </dataValidation>
    <dataValidation sqref="E55" showDropDown="0" showInputMessage="0" showErrorMessage="0" allowBlank="1" type="list">
      <formula1>'🛤️ Learning Paths'!$B$4:$B$103</formula1>
    </dataValidation>
    <dataValidation sqref="G55" showDropDown="0" showInputMessage="0" showErrorMessage="0" allowBlank="1" type="list">
      <formula1>'⚙️ Config'!$G$2:$G$7</formula1>
    </dataValidation>
    <dataValidation sqref="C56" showDropDown="0" showInputMessage="0" showErrorMessage="0" allowBlank="1" type="list">
      <formula1>'⚙️ Config'!$A$2:$A$9</formula1>
    </dataValidation>
    <dataValidation sqref="E56" showDropDown="0" showInputMessage="0" showErrorMessage="0" allowBlank="1" type="list">
      <formula1>'🛤️ Learning Paths'!$B$4:$B$103</formula1>
    </dataValidation>
    <dataValidation sqref="G56" showDropDown="0" showInputMessage="0" showErrorMessage="0" allowBlank="1" type="list">
      <formula1>'⚙️ Config'!$G$2:$G$7</formula1>
    </dataValidation>
    <dataValidation sqref="C57" showDropDown="0" showInputMessage="0" showErrorMessage="0" allowBlank="1" type="list">
      <formula1>'⚙️ Config'!$A$2:$A$9</formula1>
    </dataValidation>
    <dataValidation sqref="E57" showDropDown="0" showInputMessage="0" showErrorMessage="0" allowBlank="1" type="list">
      <formula1>'🛤️ Learning Paths'!$B$4:$B$103</formula1>
    </dataValidation>
    <dataValidation sqref="G57" showDropDown="0" showInputMessage="0" showErrorMessage="0" allowBlank="1" type="list">
      <formula1>'⚙️ Config'!$G$2:$G$7</formula1>
    </dataValidation>
    <dataValidation sqref="C58" showDropDown="0" showInputMessage="0" showErrorMessage="0" allowBlank="1" type="list">
      <formula1>'⚙️ Config'!$A$2:$A$9</formula1>
    </dataValidation>
    <dataValidation sqref="E58" showDropDown="0" showInputMessage="0" showErrorMessage="0" allowBlank="1" type="list">
      <formula1>'🛤️ Learning Paths'!$B$4:$B$103</formula1>
    </dataValidation>
    <dataValidation sqref="G58" showDropDown="0" showInputMessage="0" showErrorMessage="0" allowBlank="1" type="list">
      <formula1>'⚙️ Config'!$G$2:$G$7</formula1>
    </dataValidation>
    <dataValidation sqref="C59" showDropDown="0" showInputMessage="0" showErrorMessage="0" allowBlank="1" type="list">
      <formula1>'⚙️ Config'!$A$2:$A$9</formula1>
    </dataValidation>
    <dataValidation sqref="E59" showDropDown="0" showInputMessage="0" showErrorMessage="0" allowBlank="1" type="list">
      <formula1>'🛤️ Learning Paths'!$B$4:$B$103</formula1>
    </dataValidation>
    <dataValidation sqref="G59" showDropDown="0" showInputMessage="0" showErrorMessage="0" allowBlank="1" type="list">
      <formula1>'⚙️ Config'!$G$2:$G$7</formula1>
    </dataValidation>
    <dataValidation sqref="C60" showDropDown="0" showInputMessage="0" showErrorMessage="0" allowBlank="1" type="list">
      <formula1>'⚙️ Config'!$A$2:$A$9</formula1>
    </dataValidation>
    <dataValidation sqref="E60" showDropDown="0" showInputMessage="0" showErrorMessage="0" allowBlank="1" type="list">
      <formula1>'🛤️ Learning Paths'!$B$4:$B$103</formula1>
    </dataValidation>
    <dataValidation sqref="G60" showDropDown="0" showInputMessage="0" showErrorMessage="0" allowBlank="1" type="list">
      <formula1>'⚙️ Config'!$G$2:$G$7</formula1>
    </dataValidation>
    <dataValidation sqref="C61" showDropDown="0" showInputMessage="0" showErrorMessage="0" allowBlank="1" type="list">
      <formula1>'⚙️ Config'!$A$2:$A$9</formula1>
    </dataValidation>
    <dataValidation sqref="E61" showDropDown="0" showInputMessage="0" showErrorMessage="0" allowBlank="1" type="list">
      <formula1>'🛤️ Learning Paths'!$B$4:$B$103</formula1>
    </dataValidation>
    <dataValidation sqref="G61" showDropDown="0" showInputMessage="0" showErrorMessage="0" allowBlank="1" type="list">
      <formula1>'⚙️ Config'!$G$2:$G$7</formula1>
    </dataValidation>
    <dataValidation sqref="C62" showDropDown="0" showInputMessage="0" showErrorMessage="0" allowBlank="1" type="list">
      <formula1>'⚙️ Config'!$A$2:$A$9</formula1>
    </dataValidation>
    <dataValidation sqref="E62" showDropDown="0" showInputMessage="0" showErrorMessage="0" allowBlank="1" type="list">
      <formula1>'🛤️ Learning Paths'!$B$4:$B$103</formula1>
    </dataValidation>
    <dataValidation sqref="G62" showDropDown="0" showInputMessage="0" showErrorMessage="0" allowBlank="1" type="list">
      <formula1>'⚙️ Config'!$G$2:$G$7</formula1>
    </dataValidation>
    <dataValidation sqref="C63" showDropDown="0" showInputMessage="0" showErrorMessage="0" allowBlank="1" type="list">
      <formula1>'⚙️ Config'!$A$2:$A$9</formula1>
    </dataValidation>
    <dataValidation sqref="E63" showDropDown="0" showInputMessage="0" showErrorMessage="0" allowBlank="1" type="list">
      <formula1>'🛤️ Learning Paths'!$B$4:$B$103</formula1>
    </dataValidation>
    <dataValidation sqref="G63" showDropDown="0" showInputMessage="0" showErrorMessage="0" allowBlank="1" type="list">
      <formula1>'⚙️ Config'!$G$2:$G$7</formula1>
    </dataValidation>
    <dataValidation sqref="C64" showDropDown="0" showInputMessage="0" showErrorMessage="0" allowBlank="1" type="list">
      <formula1>'⚙️ Config'!$A$2:$A$9</formula1>
    </dataValidation>
    <dataValidation sqref="E64" showDropDown="0" showInputMessage="0" showErrorMessage="0" allowBlank="1" type="list">
      <formula1>'🛤️ Learning Paths'!$B$4:$B$103</formula1>
    </dataValidation>
    <dataValidation sqref="G64" showDropDown="0" showInputMessage="0" showErrorMessage="0" allowBlank="1" type="list">
      <formula1>'⚙️ Config'!$G$2:$G$7</formula1>
    </dataValidation>
    <dataValidation sqref="C65" showDropDown="0" showInputMessage="0" showErrorMessage="0" allowBlank="1" type="list">
      <formula1>'⚙️ Config'!$A$2:$A$9</formula1>
    </dataValidation>
    <dataValidation sqref="E65" showDropDown="0" showInputMessage="0" showErrorMessage="0" allowBlank="1" type="list">
      <formula1>'🛤️ Learning Paths'!$B$4:$B$103</formula1>
    </dataValidation>
    <dataValidation sqref="G65" showDropDown="0" showInputMessage="0" showErrorMessage="0" allowBlank="1" type="list">
      <formula1>'⚙️ Config'!$G$2:$G$7</formula1>
    </dataValidation>
    <dataValidation sqref="C66" showDropDown="0" showInputMessage="0" showErrorMessage="0" allowBlank="1" type="list">
      <formula1>'⚙️ Config'!$A$2:$A$9</formula1>
    </dataValidation>
    <dataValidation sqref="E66" showDropDown="0" showInputMessage="0" showErrorMessage="0" allowBlank="1" type="list">
      <formula1>'🛤️ Learning Paths'!$B$4:$B$103</formula1>
    </dataValidation>
    <dataValidation sqref="G66" showDropDown="0" showInputMessage="0" showErrorMessage="0" allowBlank="1" type="list">
      <formula1>'⚙️ Config'!$G$2:$G$7</formula1>
    </dataValidation>
    <dataValidation sqref="C67" showDropDown="0" showInputMessage="0" showErrorMessage="0" allowBlank="1" type="list">
      <formula1>'⚙️ Config'!$A$2:$A$9</formula1>
    </dataValidation>
    <dataValidation sqref="E67" showDropDown="0" showInputMessage="0" showErrorMessage="0" allowBlank="1" type="list">
      <formula1>'🛤️ Learning Paths'!$B$4:$B$103</formula1>
    </dataValidation>
    <dataValidation sqref="G67" showDropDown="0" showInputMessage="0" showErrorMessage="0" allowBlank="1" type="list">
      <formula1>'⚙️ Config'!$G$2:$G$7</formula1>
    </dataValidation>
    <dataValidation sqref="C68" showDropDown="0" showInputMessage="0" showErrorMessage="0" allowBlank="1" type="list">
      <formula1>'⚙️ Config'!$A$2:$A$9</formula1>
    </dataValidation>
    <dataValidation sqref="E68" showDropDown="0" showInputMessage="0" showErrorMessage="0" allowBlank="1" type="list">
      <formula1>'🛤️ Learning Paths'!$B$4:$B$103</formula1>
    </dataValidation>
    <dataValidation sqref="G68" showDropDown="0" showInputMessage="0" showErrorMessage="0" allowBlank="1" type="list">
      <formula1>'⚙️ Config'!$G$2:$G$7</formula1>
    </dataValidation>
    <dataValidation sqref="C69" showDropDown="0" showInputMessage="0" showErrorMessage="0" allowBlank="1" type="list">
      <formula1>'⚙️ Config'!$A$2:$A$9</formula1>
    </dataValidation>
    <dataValidation sqref="E69" showDropDown="0" showInputMessage="0" showErrorMessage="0" allowBlank="1" type="list">
      <formula1>'🛤️ Learning Paths'!$B$4:$B$103</formula1>
    </dataValidation>
    <dataValidation sqref="G69" showDropDown="0" showInputMessage="0" showErrorMessage="0" allowBlank="1" type="list">
      <formula1>'⚙️ Config'!$G$2:$G$7</formula1>
    </dataValidation>
    <dataValidation sqref="C70" showDropDown="0" showInputMessage="0" showErrorMessage="0" allowBlank="1" type="list">
      <formula1>'⚙️ Config'!$A$2:$A$9</formula1>
    </dataValidation>
    <dataValidation sqref="E70" showDropDown="0" showInputMessage="0" showErrorMessage="0" allowBlank="1" type="list">
      <formula1>'🛤️ Learning Paths'!$B$4:$B$103</formula1>
    </dataValidation>
    <dataValidation sqref="G70" showDropDown="0" showInputMessage="0" showErrorMessage="0" allowBlank="1" type="list">
      <formula1>'⚙️ Config'!$G$2:$G$7</formula1>
    </dataValidation>
    <dataValidation sqref="C71" showDropDown="0" showInputMessage="0" showErrorMessage="0" allowBlank="1" type="list">
      <formula1>'⚙️ Config'!$A$2:$A$9</formula1>
    </dataValidation>
    <dataValidation sqref="E71" showDropDown="0" showInputMessage="0" showErrorMessage="0" allowBlank="1" type="list">
      <formula1>'🛤️ Learning Paths'!$B$4:$B$103</formula1>
    </dataValidation>
    <dataValidation sqref="G71" showDropDown="0" showInputMessage="0" showErrorMessage="0" allowBlank="1" type="list">
      <formula1>'⚙️ Config'!$G$2:$G$7</formula1>
    </dataValidation>
    <dataValidation sqref="C72" showDropDown="0" showInputMessage="0" showErrorMessage="0" allowBlank="1" type="list">
      <formula1>'⚙️ Config'!$A$2:$A$9</formula1>
    </dataValidation>
    <dataValidation sqref="E72" showDropDown="0" showInputMessage="0" showErrorMessage="0" allowBlank="1" type="list">
      <formula1>'🛤️ Learning Paths'!$B$4:$B$103</formula1>
    </dataValidation>
    <dataValidation sqref="G72" showDropDown="0" showInputMessage="0" showErrorMessage="0" allowBlank="1" type="list">
      <formula1>'⚙️ Config'!$G$2:$G$7</formula1>
    </dataValidation>
    <dataValidation sqref="C73" showDropDown="0" showInputMessage="0" showErrorMessage="0" allowBlank="1" type="list">
      <formula1>'⚙️ Config'!$A$2:$A$9</formula1>
    </dataValidation>
    <dataValidation sqref="E73" showDropDown="0" showInputMessage="0" showErrorMessage="0" allowBlank="1" type="list">
      <formula1>'🛤️ Learning Paths'!$B$4:$B$103</formula1>
    </dataValidation>
    <dataValidation sqref="G73" showDropDown="0" showInputMessage="0" showErrorMessage="0" allowBlank="1" type="list">
      <formula1>'⚙️ Config'!$G$2:$G$7</formula1>
    </dataValidation>
    <dataValidation sqref="C74" showDropDown="0" showInputMessage="0" showErrorMessage="0" allowBlank="1" type="list">
      <formula1>'⚙️ Config'!$A$2:$A$9</formula1>
    </dataValidation>
    <dataValidation sqref="E74" showDropDown="0" showInputMessage="0" showErrorMessage="0" allowBlank="1" type="list">
      <formula1>'🛤️ Learning Paths'!$B$4:$B$103</formula1>
    </dataValidation>
    <dataValidation sqref="G74" showDropDown="0" showInputMessage="0" showErrorMessage="0" allowBlank="1" type="list">
      <formula1>'⚙️ Config'!$G$2:$G$7</formula1>
    </dataValidation>
    <dataValidation sqref="C75" showDropDown="0" showInputMessage="0" showErrorMessage="0" allowBlank="1" type="list">
      <formula1>'⚙️ Config'!$A$2:$A$9</formula1>
    </dataValidation>
    <dataValidation sqref="E75" showDropDown="0" showInputMessage="0" showErrorMessage="0" allowBlank="1" type="list">
      <formula1>'🛤️ Learning Paths'!$B$4:$B$103</formula1>
    </dataValidation>
    <dataValidation sqref="G75" showDropDown="0" showInputMessage="0" showErrorMessage="0" allowBlank="1" type="list">
      <formula1>'⚙️ Config'!$G$2:$G$7</formula1>
    </dataValidation>
    <dataValidation sqref="C76" showDropDown="0" showInputMessage="0" showErrorMessage="0" allowBlank="1" type="list">
      <formula1>'⚙️ Config'!$A$2:$A$9</formula1>
    </dataValidation>
    <dataValidation sqref="E76" showDropDown="0" showInputMessage="0" showErrorMessage="0" allowBlank="1" type="list">
      <formula1>'🛤️ Learning Paths'!$B$4:$B$103</formula1>
    </dataValidation>
    <dataValidation sqref="G76" showDropDown="0" showInputMessage="0" showErrorMessage="0" allowBlank="1" type="list">
      <formula1>'⚙️ Config'!$G$2:$G$7</formula1>
    </dataValidation>
    <dataValidation sqref="C77" showDropDown="0" showInputMessage="0" showErrorMessage="0" allowBlank="1" type="list">
      <formula1>'⚙️ Config'!$A$2:$A$9</formula1>
    </dataValidation>
    <dataValidation sqref="E77" showDropDown="0" showInputMessage="0" showErrorMessage="0" allowBlank="1" type="list">
      <formula1>'🛤️ Learning Paths'!$B$4:$B$103</formula1>
    </dataValidation>
    <dataValidation sqref="G77" showDropDown="0" showInputMessage="0" showErrorMessage="0" allowBlank="1" type="list">
      <formula1>'⚙️ Config'!$G$2:$G$7</formula1>
    </dataValidation>
    <dataValidation sqref="C78" showDropDown="0" showInputMessage="0" showErrorMessage="0" allowBlank="1" type="list">
      <formula1>'⚙️ Config'!$A$2:$A$9</formula1>
    </dataValidation>
    <dataValidation sqref="E78" showDropDown="0" showInputMessage="0" showErrorMessage="0" allowBlank="1" type="list">
      <formula1>'🛤️ Learning Paths'!$B$4:$B$103</formula1>
    </dataValidation>
    <dataValidation sqref="G78" showDropDown="0" showInputMessage="0" showErrorMessage="0" allowBlank="1" type="list">
      <formula1>'⚙️ Config'!$G$2:$G$7</formula1>
    </dataValidation>
    <dataValidation sqref="C79" showDropDown="0" showInputMessage="0" showErrorMessage="0" allowBlank="1" type="list">
      <formula1>'⚙️ Config'!$A$2:$A$9</formula1>
    </dataValidation>
    <dataValidation sqref="E79" showDropDown="0" showInputMessage="0" showErrorMessage="0" allowBlank="1" type="list">
      <formula1>'🛤️ Learning Paths'!$B$4:$B$103</formula1>
    </dataValidation>
    <dataValidation sqref="G79" showDropDown="0" showInputMessage="0" showErrorMessage="0" allowBlank="1" type="list">
      <formula1>'⚙️ Config'!$G$2:$G$7</formula1>
    </dataValidation>
    <dataValidation sqref="C80" showDropDown="0" showInputMessage="0" showErrorMessage="0" allowBlank="1" type="list">
      <formula1>'⚙️ Config'!$A$2:$A$9</formula1>
    </dataValidation>
    <dataValidation sqref="E80" showDropDown="0" showInputMessage="0" showErrorMessage="0" allowBlank="1" type="list">
      <formula1>'🛤️ Learning Paths'!$B$4:$B$103</formula1>
    </dataValidation>
    <dataValidation sqref="G80" showDropDown="0" showInputMessage="0" showErrorMessage="0" allowBlank="1" type="list">
      <formula1>'⚙️ Config'!$G$2:$G$7</formula1>
    </dataValidation>
    <dataValidation sqref="C81" showDropDown="0" showInputMessage="0" showErrorMessage="0" allowBlank="1" type="list">
      <formula1>'⚙️ Config'!$A$2:$A$9</formula1>
    </dataValidation>
    <dataValidation sqref="E81" showDropDown="0" showInputMessage="0" showErrorMessage="0" allowBlank="1" type="list">
      <formula1>'🛤️ Learning Paths'!$B$4:$B$103</formula1>
    </dataValidation>
    <dataValidation sqref="G81" showDropDown="0" showInputMessage="0" showErrorMessage="0" allowBlank="1" type="list">
      <formula1>'⚙️ Config'!$G$2:$G$7</formula1>
    </dataValidation>
    <dataValidation sqref="C82" showDropDown="0" showInputMessage="0" showErrorMessage="0" allowBlank="1" type="list">
      <formula1>'⚙️ Config'!$A$2:$A$9</formula1>
    </dataValidation>
    <dataValidation sqref="E82" showDropDown="0" showInputMessage="0" showErrorMessage="0" allowBlank="1" type="list">
      <formula1>'🛤️ Learning Paths'!$B$4:$B$103</formula1>
    </dataValidation>
    <dataValidation sqref="G82" showDropDown="0" showInputMessage="0" showErrorMessage="0" allowBlank="1" type="list">
      <formula1>'⚙️ Config'!$G$2:$G$7</formula1>
    </dataValidation>
    <dataValidation sqref="C83" showDropDown="0" showInputMessage="0" showErrorMessage="0" allowBlank="1" type="list">
      <formula1>'⚙️ Config'!$A$2:$A$9</formula1>
    </dataValidation>
    <dataValidation sqref="E83" showDropDown="0" showInputMessage="0" showErrorMessage="0" allowBlank="1" type="list">
      <formula1>'🛤️ Learning Paths'!$B$4:$B$103</formula1>
    </dataValidation>
    <dataValidation sqref="G83" showDropDown="0" showInputMessage="0" showErrorMessage="0" allowBlank="1" type="list">
      <formula1>'⚙️ Config'!$G$2:$G$7</formula1>
    </dataValidation>
    <dataValidation sqref="C84" showDropDown="0" showInputMessage="0" showErrorMessage="0" allowBlank="1" type="list">
      <formula1>'⚙️ Config'!$A$2:$A$9</formula1>
    </dataValidation>
    <dataValidation sqref="E84" showDropDown="0" showInputMessage="0" showErrorMessage="0" allowBlank="1" type="list">
      <formula1>'🛤️ Learning Paths'!$B$4:$B$103</formula1>
    </dataValidation>
    <dataValidation sqref="G84" showDropDown="0" showInputMessage="0" showErrorMessage="0" allowBlank="1" type="list">
      <formula1>'⚙️ Config'!$G$2:$G$7</formula1>
    </dataValidation>
    <dataValidation sqref="C85" showDropDown="0" showInputMessage="0" showErrorMessage="0" allowBlank="1" type="list">
      <formula1>'⚙️ Config'!$A$2:$A$9</formula1>
    </dataValidation>
    <dataValidation sqref="E85" showDropDown="0" showInputMessage="0" showErrorMessage="0" allowBlank="1" type="list">
      <formula1>'🛤️ Learning Paths'!$B$4:$B$103</formula1>
    </dataValidation>
    <dataValidation sqref="G85" showDropDown="0" showInputMessage="0" showErrorMessage="0" allowBlank="1" type="list">
      <formula1>'⚙️ Config'!$G$2:$G$7</formula1>
    </dataValidation>
    <dataValidation sqref="C86" showDropDown="0" showInputMessage="0" showErrorMessage="0" allowBlank="1" type="list">
      <formula1>'⚙️ Config'!$A$2:$A$9</formula1>
    </dataValidation>
    <dataValidation sqref="E86" showDropDown="0" showInputMessage="0" showErrorMessage="0" allowBlank="1" type="list">
      <formula1>'🛤️ Learning Paths'!$B$4:$B$103</formula1>
    </dataValidation>
    <dataValidation sqref="G86" showDropDown="0" showInputMessage="0" showErrorMessage="0" allowBlank="1" type="list">
      <formula1>'⚙️ Config'!$G$2:$G$7</formula1>
    </dataValidation>
    <dataValidation sqref="C87" showDropDown="0" showInputMessage="0" showErrorMessage="0" allowBlank="1" type="list">
      <formula1>'⚙️ Config'!$A$2:$A$9</formula1>
    </dataValidation>
    <dataValidation sqref="E87" showDropDown="0" showInputMessage="0" showErrorMessage="0" allowBlank="1" type="list">
      <formula1>'🛤️ Learning Paths'!$B$4:$B$103</formula1>
    </dataValidation>
    <dataValidation sqref="G87" showDropDown="0" showInputMessage="0" showErrorMessage="0" allowBlank="1" type="list">
      <formula1>'⚙️ Config'!$G$2:$G$7</formula1>
    </dataValidation>
    <dataValidation sqref="C88" showDropDown="0" showInputMessage="0" showErrorMessage="0" allowBlank="1" type="list">
      <formula1>'⚙️ Config'!$A$2:$A$9</formula1>
    </dataValidation>
    <dataValidation sqref="E88" showDropDown="0" showInputMessage="0" showErrorMessage="0" allowBlank="1" type="list">
      <formula1>'🛤️ Learning Paths'!$B$4:$B$103</formula1>
    </dataValidation>
    <dataValidation sqref="G88" showDropDown="0" showInputMessage="0" showErrorMessage="0" allowBlank="1" type="list">
      <formula1>'⚙️ Config'!$G$2:$G$7</formula1>
    </dataValidation>
    <dataValidation sqref="C89" showDropDown="0" showInputMessage="0" showErrorMessage="0" allowBlank="1" type="list">
      <formula1>'⚙️ Config'!$A$2:$A$9</formula1>
    </dataValidation>
    <dataValidation sqref="E89" showDropDown="0" showInputMessage="0" showErrorMessage="0" allowBlank="1" type="list">
      <formula1>'🛤️ Learning Paths'!$B$4:$B$103</formula1>
    </dataValidation>
    <dataValidation sqref="G89" showDropDown="0" showInputMessage="0" showErrorMessage="0" allowBlank="1" type="list">
      <formula1>'⚙️ Config'!$G$2:$G$7</formula1>
    </dataValidation>
    <dataValidation sqref="C90" showDropDown="0" showInputMessage="0" showErrorMessage="0" allowBlank="1" type="list">
      <formula1>'⚙️ Config'!$A$2:$A$9</formula1>
    </dataValidation>
    <dataValidation sqref="E90" showDropDown="0" showInputMessage="0" showErrorMessage="0" allowBlank="1" type="list">
      <formula1>'🛤️ Learning Paths'!$B$4:$B$103</formula1>
    </dataValidation>
    <dataValidation sqref="G90" showDropDown="0" showInputMessage="0" showErrorMessage="0" allowBlank="1" type="list">
      <formula1>'⚙️ Config'!$G$2:$G$7</formula1>
    </dataValidation>
    <dataValidation sqref="C91" showDropDown="0" showInputMessage="0" showErrorMessage="0" allowBlank="1" type="list">
      <formula1>'⚙️ Config'!$A$2:$A$9</formula1>
    </dataValidation>
    <dataValidation sqref="E91" showDropDown="0" showInputMessage="0" showErrorMessage="0" allowBlank="1" type="list">
      <formula1>'🛤️ Learning Paths'!$B$4:$B$103</formula1>
    </dataValidation>
    <dataValidation sqref="G91" showDropDown="0" showInputMessage="0" showErrorMessage="0" allowBlank="1" type="list">
      <formula1>'⚙️ Config'!$G$2:$G$7</formula1>
    </dataValidation>
    <dataValidation sqref="C92" showDropDown="0" showInputMessage="0" showErrorMessage="0" allowBlank="1" type="list">
      <formula1>'⚙️ Config'!$A$2:$A$9</formula1>
    </dataValidation>
    <dataValidation sqref="E92" showDropDown="0" showInputMessage="0" showErrorMessage="0" allowBlank="1" type="list">
      <formula1>'🛤️ Learning Paths'!$B$4:$B$103</formula1>
    </dataValidation>
    <dataValidation sqref="G92" showDropDown="0" showInputMessage="0" showErrorMessage="0" allowBlank="1" type="list">
      <formula1>'⚙️ Config'!$G$2:$G$7</formula1>
    </dataValidation>
    <dataValidation sqref="C93" showDropDown="0" showInputMessage="0" showErrorMessage="0" allowBlank="1" type="list">
      <formula1>'⚙️ Config'!$A$2:$A$9</formula1>
    </dataValidation>
    <dataValidation sqref="E93" showDropDown="0" showInputMessage="0" showErrorMessage="0" allowBlank="1" type="list">
      <formula1>'🛤️ Learning Paths'!$B$4:$B$103</formula1>
    </dataValidation>
    <dataValidation sqref="G93" showDropDown="0" showInputMessage="0" showErrorMessage="0" allowBlank="1" type="list">
      <formula1>'⚙️ Config'!$G$2:$G$7</formula1>
    </dataValidation>
    <dataValidation sqref="C94" showDropDown="0" showInputMessage="0" showErrorMessage="0" allowBlank="1" type="list">
      <formula1>'⚙️ Config'!$A$2:$A$9</formula1>
    </dataValidation>
    <dataValidation sqref="E94" showDropDown="0" showInputMessage="0" showErrorMessage="0" allowBlank="1" type="list">
      <formula1>'🛤️ Learning Paths'!$B$4:$B$103</formula1>
    </dataValidation>
    <dataValidation sqref="G94" showDropDown="0" showInputMessage="0" showErrorMessage="0" allowBlank="1" type="list">
      <formula1>'⚙️ Config'!$G$2:$G$7</formula1>
    </dataValidation>
    <dataValidation sqref="C95" showDropDown="0" showInputMessage="0" showErrorMessage="0" allowBlank="1" type="list">
      <formula1>'⚙️ Config'!$A$2:$A$9</formula1>
    </dataValidation>
    <dataValidation sqref="E95" showDropDown="0" showInputMessage="0" showErrorMessage="0" allowBlank="1" type="list">
      <formula1>'🛤️ Learning Paths'!$B$4:$B$103</formula1>
    </dataValidation>
    <dataValidation sqref="G95" showDropDown="0" showInputMessage="0" showErrorMessage="0" allowBlank="1" type="list">
      <formula1>'⚙️ Config'!$G$2:$G$7</formula1>
    </dataValidation>
    <dataValidation sqref="C96" showDropDown="0" showInputMessage="0" showErrorMessage="0" allowBlank="1" type="list">
      <formula1>'⚙️ Config'!$A$2:$A$9</formula1>
    </dataValidation>
    <dataValidation sqref="E96" showDropDown="0" showInputMessage="0" showErrorMessage="0" allowBlank="1" type="list">
      <formula1>'🛤️ Learning Paths'!$B$4:$B$103</formula1>
    </dataValidation>
    <dataValidation sqref="G96" showDropDown="0" showInputMessage="0" showErrorMessage="0" allowBlank="1" type="list">
      <formula1>'⚙️ Config'!$G$2:$G$7</formula1>
    </dataValidation>
    <dataValidation sqref="C97" showDropDown="0" showInputMessage="0" showErrorMessage="0" allowBlank="1" type="list">
      <formula1>'⚙️ Config'!$A$2:$A$9</formula1>
    </dataValidation>
    <dataValidation sqref="E97" showDropDown="0" showInputMessage="0" showErrorMessage="0" allowBlank="1" type="list">
      <formula1>'🛤️ Learning Paths'!$B$4:$B$103</formula1>
    </dataValidation>
    <dataValidation sqref="G97" showDropDown="0" showInputMessage="0" showErrorMessage="0" allowBlank="1" type="list">
      <formula1>'⚙️ Config'!$G$2:$G$7</formula1>
    </dataValidation>
    <dataValidation sqref="C98" showDropDown="0" showInputMessage="0" showErrorMessage="0" allowBlank="1" type="list">
      <formula1>'⚙️ Config'!$A$2:$A$9</formula1>
    </dataValidation>
    <dataValidation sqref="E98" showDropDown="0" showInputMessage="0" showErrorMessage="0" allowBlank="1" type="list">
      <formula1>'🛤️ Learning Paths'!$B$4:$B$103</formula1>
    </dataValidation>
    <dataValidation sqref="G98" showDropDown="0" showInputMessage="0" showErrorMessage="0" allowBlank="1" type="list">
      <formula1>'⚙️ Config'!$G$2:$G$7</formula1>
    </dataValidation>
    <dataValidation sqref="C99" showDropDown="0" showInputMessage="0" showErrorMessage="0" allowBlank="1" type="list">
      <formula1>'⚙️ Config'!$A$2:$A$9</formula1>
    </dataValidation>
    <dataValidation sqref="E99" showDropDown="0" showInputMessage="0" showErrorMessage="0" allowBlank="1" type="list">
      <formula1>'🛤️ Learning Paths'!$B$4:$B$103</formula1>
    </dataValidation>
    <dataValidation sqref="G99" showDropDown="0" showInputMessage="0" showErrorMessage="0" allowBlank="1" type="list">
      <formula1>'⚙️ Config'!$G$2:$G$7</formula1>
    </dataValidation>
    <dataValidation sqref="C100" showDropDown="0" showInputMessage="0" showErrorMessage="0" allowBlank="1" type="list">
      <formula1>'⚙️ Config'!$A$2:$A$9</formula1>
    </dataValidation>
    <dataValidation sqref="E100" showDropDown="0" showInputMessage="0" showErrorMessage="0" allowBlank="1" type="list">
      <formula1>'🛤️ Learning Paths'!$B$4:$B$103</formula1>
    </dataValidation>
    <dataValidation sqref="G100" showDropDown="0" showInputMessage="0" showErrorMessage="0" allowBlank="1" type="list">
      <formula1>'⚙️ Config'!$G$2:$G$7</formula1>
    </dataValidation>
    <dataValidation sqref="C101" showDropDown="0" showInputMessage="0" showErrorMessage="0" allowBlank="1" type="list">
      <formula1>'⚙️ Config'!$A$2:$A$9</formula1>
    </dataValidation>
    <dataValidation sqref="E101" showDropDown="0" showInputMessage="0" showErrorMessage="0" allowBlank="1" type="list">
      <formula1>'🛤️ Learning Paths'!$B$4:$B$103</formula1>
    </dataValidation>
    <dataValidation sqref="G101" showDropDown="0" showInputMessage="0" showErrorMessage="0" allowBlank="1" type="list">
      <formula1>'⚙️ Config'!$G$2:$G$7</formula1>
    </dataValidation>
    <dataValidation sqref="C102" showDropDown="0" showInputMessage="0" showErrorMessage="0" allowBlank="1" type="list">
      <formula1>'⚙️ Config'!$A$2:$A$9</formula1>
    </dataValidation>
    <dataValidation sqref="E102" showDropDown="0" showInputMessage="0" showErrorMessage="0" allowBlank="1" type="list">
      <formula1>'🛤️ Learning Paths'!$B$4:$B$103</formula1>
    </dataValidation>
    <dataValidation sqref="G102" showDropDown="0" showInputMessage="0" showErrorMessage="0" allowBlank="1" type="list">
      <formula1>'⚙️ Config'!$G$2:$G$7</formula1>
    </dataValidation>
    <dataValidation sqref="C103" showDropDown="0" showInputMessage="0" showErrorMessage="0" allowBlank="1" type="list">
      <formula1>'⚙️ Config'!$A$2:$A$9</formula1>
    </dataValidation>
    <dataValidation sqref="E103" showDropDown="0" showInputMessage="0" showErrorMessage="0" allowBlank="1" type="list">
      <formula1>'🛤️ Learning Paths'!$B$4:$B$103</formula1>
    </dataValidation>
    <dataValidation sqref="G103" showDropDown="0" showInputMessage="0" showErrorMessage="0" allowBlank="1" type="list">
      <formula1>'⚙️ Config'!$G$2:$G$7</formula1>
    </dataValidation>
    <dataValidation sqref="C104" showDropDown="0" showInputMessage="0" showErrorMessage="0" allowBlank="1" type="list">
      <formula1>'⚙️ Config'!$A$2:$A$9</formula1>
    </dataValidation>
    <dataValidation sqref="E104" showDropDown="0" showInputMessage="0" showErrorMessage="0" allowBlank="1" type="list">
      <formula1>'🛤️ Learning Paths'!$B$4:$B$103</formula1>
    </dataValidation>
    <dataValidation sqref="G104" showDropDown="0" showInputMessage="0" showErrorMessage="0" allowBlank="1" type="list">
      <formula1>'⚙️ Config'!$G$2:$G$7</formula1>
    </dataValidation>
    <dataValidation sqref="C105" showDropDown="0" showInputMessage="0" showErrorMessage="0" allowBlank="1" type="list">
      <formula1>'⚙️ Config'!$A$2:$A$9</formula1>
    </dataValidation>
    <dataValidation sqref="E105" showDropDown="0" showInputMessage="0" showErrorMessage="0" allowBlank="1" type="list">
      <formula1>'🛤️ Learning Paths'!$B$4:$B$103</formula1>
    </dataValidation>
    <dataValidation sqref="G105" showDropDown="0" showInputMessage="0" showErrorMessage="0" allowBlank="1" type="list">
      <formula1>'⚙️ Config'!$G$2:$G$7</formula1>
    </dataValidation>
    <dataValidation sqref="C106" showDropDown="0" showInputMessage="0" showErrorMessage="0" allowBlank="1" type="list">
      <formula1>'⚙️ Config'!$A$2:$A$9</formula1>
    </dataValidation>
    <dataValidation sqref="E106" showDropDown="0" showInputMessage="0" showErrorMessage="0" allowBlank="1" type="list">
      <formula1>'🛤️ Learning Paths'!$B$4:$B$103</formula1>
    </dataValidation>
    <dataValidation sqref="G106" showDropDown="0" showInputMessage="0" showErrorMessage="0" allowBlank="1" type="list">
      <formula1>'⚙️ Config'!$G$2:$G$7</formula1>
    </dataValidation>
    <dataValidation sqref="C107" showDropDown="0" showInputMessage="0" showErrorMessage="0" allowBlank="1" type="list">
      <formula1>'⚙️ Config'!$A$2:$A$9</formula1>
    </dataValidation>
    <dataValidation sqref="E107" showDropDown="0" showInputMessage="0" showErrorMessage="0" allowBlank="1" type="list">
      <formula1>'🛤️ Learning Paths'!$B$4:$B$103</formula1>
    </dataValidation>
    <dataValidation sqref="G107" showDropDown="0" showInputMessage="0" showErrorMessage="0" allowBlank="1" type="list">
      <formula1>'⚙️ Config'!$G$2:$G$7</formula1>
    </dataValidation>
    <dataValidation sqref="C108" showDropDown="0" showInputMessage="0" showErrorMessage="0" allowBlank="1" type="list">
      <formula1>'⚙️ Config'!$A$2:$A$9</formula1>
    </dataValidation>
    <dataValidation sqref="E108" showDropDown="0" showInputMessage="0" showErrorMessage="0" allowBlank="1" type="list">
      <formula1>'🛤️ Learning Paths'!$B$4:$B$103</formula1>
    </dataValidation>
    <dataValidation sqref="G108" showDropDown="0" showInputMessage="0" showErrorMessage="0" allowBlank="1" type="list">
      <formula1>'⚙️ Config'!$G$2:$G$7</formula1>
    </dataValidation>
    <dataValidation sqref="C109" showDropDown="0" showInputMessage="0" showErrorMessage="0" allowBlank="1" type="list">
      <formula1>'⚙️ Config'!$A$2:$A$9</formula1>
    </dataValidation>
    <dataValidation sqref="E109" showDropDown="0" showInputMessage="0" showErrorMessage="0" allowBlank="1" type="list">
      <formula1>'🛤️ Learning Paths'!$B$4:$B$103</formula1>
    </dataValidation>
    <dataValidation sqref="G109" showDropDown="0" showInputMessage="0" showErrorMessage="0" allowBlank="1" type="list">
      <formula1>'⚙️ Config'!$G$2:$G$7</formula1>
    </dataValidation>
    <dataValidation sqref="C110" showDropDown="0" showInputMessage="0" showErrorMessage="0" allowBlank="1" type="list">
      <formula1>'⚙️ Config'!$A$2:$A$9</formula1>
    </dataValidation>
    <dataValidation sqref="E110" showDropDown="0" showInputMessage="0" showErrorMessage="0" allowBlank="1" type="list">
      <formula1>'🛤️ Learning Paths'!$B$4:$B$103</formula1>
    </dataValidation>
    <dataValidation sqref="G110" showDropDown="0" showInputMessage="0" showErrorMessage="0" allowBlank="1" type="list">
      <formula1>'⚙️ Config'!$G$2:$G$7</formula1>
    </dataValidation>
    <dataValidation sqref="C111" showDropDown="0" showInputMessage="0" showErrorMessage="0" allowBlank="1" type="list">
      <formula1>'⚙️ Config'!$A$2:$A$9</formula1>
    </dataValidation>
    <dataValidation sqref="E111" showDropDown="0" showInputMessage="0" showErrorMessage="0" allowBlank="1" type="list">
      <formula1>'🛤️ Learning Paths'!$B$4:$B$103</formula1>
    </dataValidation>
    <dataValidation sqref="G111" showDropDown="0" showInputMessage="0" showErrorMessage="0" allowBlank="1" type="list">
      <formula1>'⚙️ Config'!$G$2:$G$7</formula1>
    </dataValidation>
    <dataValidation sqref="C112" showDropDown="0" showInputMessage="0" showErrorMessage="0" allowBlank="1" type="list">
      <formula1>'⚙️ Config'!$A$2:$A$9</formula1>
    </dataValidation>
    <dataValidation sqref="E112" showDropDown="0" showInputMessage="0" showErrorMessage="0" allowBlank="1" type="list">
      <formula1>'🛤️ Learning Paths'!$B$4:$B$103</formula1>
    </dataValidation>
    <dataValidation sqref="G112" showDropDown="0" showInputMessage="0" showErrorMessage="0" allowBlank="1" type="list">
      <formula1>'⚙️ Config'!$G$2:$G$7</formula1>
    </dataValidation>
    <dataValidation sqref="C113" showDropDown="0" showInputMessage="0" showErrorMessage="0" allowBlank="1" type="list">
      <formula1>'⚙️ Config'!$A$2:$A$9</formula1>
    </dataValidation>
    <dataValidation sqref="E113" showDropDown="0" showInputMessage="0" showErrorMessage="0" allowBlank="1" type="list">
      <formula1>'🛤️ Learning Paths'!$B$4:$B$103</formula1>
    </dataValidation>
    <dataValidation sqref="G113" showDropDown="0" showInputMessage="0" showErrorMessage="0" allowBlank="1" type="list">
      <formula1>'⚙️ Config'!$G$2:$G$7</formula1>
    </dataValidation>
    <dataValidation sqref="C114" showDropDown="0" showInputMessage="0" showErrorMessage="0" allowBlank="1" type="list">
      <formula1>'⚙️ Config'!$A$2:$A$9</formula1>
    </dataValidation>
    <dataValidation sqref="E114" showDropDown="0" showInputMessage="0" showErrorMessage="0" allowBlank="1" type="list">
      <formula1>'🛤️ Learning Paths'!$B$4:$B$103</formula1>
    </dataValidation>
    <dataValidation sqref="G114" showDropDown="0" showInputMessage="0" showErrorMessage="0" allowBlank="1" type="list">
      <formula1>'⚙️ Config'!$G$2:$G$7</formula1>
    </dataValidation>
    <dataValidation sqref="C115" showDropDown="0" showInputMessage="0" showErrorMessage="0" allowBlank="1" type="list">
      <formula1>'⚙️ Config'!$A$2:$A$9</formula1>
    </dataValidation>
    <dataValidation sqref="E115" showDropDown="0" showInputMessage="0" showErrorMessage="0" allowBlank="1" type="list">
      <formula1>'🛤️ Learning Paths'!$B$4:$B$103</formula1>
    </dataValidation>
    <dataValidation sqref="G115" showDropDown="0" showInputMessage="0" showErrorMessage="0" allowBlank="1" type="list">
      <formula1>'⚙️ Config'!$G$2:$G$7</formula1>
    </dataValidation>
    <dataValidation sqref="C116" showDropDown="0" showInputMessage="0" showErrorMessage="0" allowBlank="1" type="list">
      <formula1>'⚙️ Config'!$A$2:$A$9</formula1>
    </dataValidation>
    <dataValidation sqref="E116" showDropDown="0" showInputMessage="0" showErrorMessage="0" allowBlank="1" type="list">
      <formula1>'🛤️ Learning Paths'!$B$4:$B$103</formula1>
    </dataValidation>
    <dataValidation sqref="G116" showDropDown="0" showInputMessage="0" showErrorMessage="0" allowBlank="1" type="list">
      <formula1>'⚙️ Config'!$G$2:$G$7</formula1>
    </dataValidation>
    <dataValidation sqref="C117" showDropDown="0" showInputMessage="0" showErrorMessage="0" allowBlank="1" type="list">
      <formula1>'⚙️ Config'!$A$2:$A$9</formula1>
    </dataValidation>
    <dataValidation sqref="E117" showDropDown="0" showInputMessage="0" showErrorMessage="0" allowBlank="1" type="list">
      <formula1>'🛤️ Learning Paths'!$B$4:$B$103</formula1>
    </dataValidation>
    <dataValidation sqref="G117" showDropDown="0" showInputMessage="0" showErrorMessage="0" allowBlank="1" type="list">
      <formula1>'⚙️ Config'!$G$2:$G$7</formula1>
    </dataValidation>
    <dataValidation sqref="C118" showDropDown="0" showInputMessage="0" showErrorMessage="0" allowBlank="1" type="list">
      <formula1>'⚙️ Config'!$A$2:$A$9</formula1>
    </dataValidation>
    <dataValidation sqref="E118" showDropDown="0" showInputMessage="0" showErrorMessage="0" allowBlank="1" type="list">
      <formula1>'🛤️ Learning Paths'!$B$4:$B$103</formula1>
    </dataValidation>
    <dataValidation sqref="G118" showDropDown="0" showInputMessage="0" showErrorMessage="0" allowBlank="1" type="list">
      <formula1>'⚙️ Config'!$G$2:$G$7</formula1>
    </dataValidation>
    <dataValidation sqref="C119" showDropDown="0" showInputMessage="0" showErrorMessage="0" allowBlank="1" type="list">
      <formula1>'⚙️ Config'!$A$2:$A$9</formula1>
    </dataValidation>
    <dataValidation sqref="E119" showDropDown="0" showInputMessage="0" showErrorMessage="0" allowBlank="1" type="list">
      <formula1>'🛤️ Learning Paths'!$B$4:$B$103</formula1>
    </dataValidation>
    <dataValidation sqref="G119" showDropDown="0" showInputMessage="0" showErrorMessage="0" allowBlank="1" type="list">
      <formula1>'⚙️ Config'!$G$2:$G$7</formula1>
    </dataValidation>
    <dataValidation sqref="C120" showDropDown="0" showInputMessage="0" showErrorMessage="0" allowBlank="1" type="list">
      <formula1>'⚙️ Config'!$A$2:$A$9</formula1>
    </dataValidation>
    <dataValidation sqref="E120" showDropDown="0" showInputMessage="0" showErrorMessage="0" allowBlank="1" type="list">
      <formula1>'🛤️ Learning Paths'!$B$4:$B$103</formula1>
    </dataValidation>
    <dataValidation sqref="G120" showDropDown="0" showInputMessage="0" showErrorMessage="0" allowBlank="1" type="list">
      <formula1>'⚙️ Config'!$G$2:$G$7</formula1>
    </dataValidation>
    <dataValidation sqref="C121" showDropDown="0" showInputMessage="0" showErrorMessage="0" allowBlank="1" type="list">
      <formula1>'⚙️ Config'!$A$2:$A$9</formula1>
    </dataValidation>
    <dataValidation sqref="E121" showDropDown="0" showInputMessage="0" showErrorMessage="0" allowBlank="1" type="list">
      <formula1>'🛤️ Learning Paths'!$B$4:$B$103</formula1>
    </dataValidation>
    <dataValidation sqref="G121" showDropDown="0" showInputMessage="0" showErrorMessage="0" allowBlank="1" type="list">
      <formula1>'⚙️ Config'!$G$2:$G$7</formula1>
    </dataValidation>
    <dataValidation sqref="C122" showDropDown="0" showInputMessage="0" showErrorMessage="0" allowBlank="1" type="list">
      <formula1>'⚙️ Config'!$A$2:$A$9</formula1>
    </dataValidation>
    <dataValidation sqref="E122" showDropDown="0" showInputMessage="0" showErrorMessage="0" allowBlank="1" type="list">
      <formula1>'🛤️ Learning Paths'!$B$4:$B$103</formula1>
    </dataValidation>
    <dataValidation sqref="G122" showDropDown="0" showInputMessage="0" showErrorMessage="0" allowBlank="1" type="list">
      <formula1>'⚙️ Config'!$G$2:$G$7</formula1>
    </dataValidation>
    <dataValidation sqref="C123" showDropDown="0" showInputMessage="0" showErrorMessage="0" allowBlank="1" type="list">
      <formula1>'⚙️ Config'!$A$2:$A$9</formula1>
    </dataValidation>
    <dataValidation sqref="E123" showDropDown="0" showInputMessage="0" showErrorMessage="0" allowBlank="1" type="list">
      <formula1>'🛤️ Learning Paths'!$B$4:$B$103</formula1>
    </dataValidation>
    <dataValidation sqref="G123" showDropDown="0" showInputMessage="0" showErrorMessage="0" allowBlank="1" type="list">
      <formula1>'⚙️ Config'!$G$2:$G$7</formula1>
    </dataValidation>
    <dataValidation sqref="C124" showDropDown="0" showInputMessage="0" showErrorMessage="0" allowBlank="1" type="list">
      <formula1>'⚙️ Config'!$A$2:$A$9</formula1>
    </dataValidation>
    <dataValidation sqref="E124" showDropDown="0" showInputMessage="0" showErrorMessage="0" allowBlank="1" type="list">
      <formula1>'🛤️ Learning Paths'!$B$4:$B$103</formula1>
    </dataValidation>
    <dataValidation sqref="G124" showDropDown="0" showInputMessage="0" showErrorMessage="0" allowBlank="1" type="list">
      <formula1>'⚙️ Config'!$G$2:$G$7</formula1>
    </dataValidation>
    <dataValidation sqref="C125" showDropDown="0" showInputMessage="0" showErrorMessage="0" allowBlank="1" type="list">
      <formula1>'⚙️ Config'!$A$2:$A$9</formula1>
    </dataValidation>
    <dataValidation sqref="E125" showDropDown="0" showInputMessage="0" showErrorMessage="0" allowBlank="1" type="list">
      <formula1>'🛤️ Learning Paths'!$B$4:$B$103</formula1>
    </dataValidation>
    <dataValidation sqref="G125" showDropDown="0" showInputMessage="0" showErrorMessage="0" allowBlank="1" type="list">
      <formula1>'⚙️ Config'!$G$2:$G$7</formula1>
    </dataValidation>
    <dataValidation sqref="C126" showDropDown="0" showInputMessage="0" showErrorMessage="0" allowBlank="1" type="list">
      <formula1>'⚙️ Config'!$A$2:$A$9</formula1>
    </dataValidation>
    <dataValidation sqref="E126" showDropDown="0" showInputMessage="0" showErrorMessage="0" allowBlank="1" type="list">
      <formula1>'🛤️ Learning Paths'!$B$4:$B$103</formula1>
    </dataValidation>
    <dataValidation sqref="G126" showDropDown="0" showInputMessage="0" showErrorMessage="0" allowBlank="1" type="list">
      <formula1>'⚙️ Config'!$G$2:$G$7</formula1>
    </dataValidation>
    <dataValidation sqref="C127" showDropDown="0" showInputMessage="0" showErrorMessage="0" allowBlank="1" type="list">
      <formula1>'⚙️ Config'!$A$2:$A$9</formula1>
    </dataValidation>
    <dataValidation sqref="E127" showDropDown="0" showInputMessage="0" showErrorMessage="0" allowBlank="1" type="list">
      <formula1>'🛤️ Learning Paths'!$B$4:$B$103</formula1>
    </dataValidation>
    <dataValidation sqref="G127" showDropDown="0" showInputMessage="0" showErrorMessage="0" allowBlank="1" type="list">
      <formula1>'⚙️ Config'!$G$2:$G$7</formula1>
    </dataValidation>
    <dataValidation sqref="C128" showDropDown="0" showInputMessage="0" showErrorMessage="0" allowBlank="1" type="list">
      <formula1>'⚙️ Config'!$A$2:$A$9</formula1>
    </dataValidation>
    <dataValidation sqref="E128" showDropDown="0" showInputMessage="0" showErrorMessage="0" allowBlank="1" type="list">
      <formula1>'🛤️ Learning Paths'!$B$4:$B$103</formula1>
    </dataValidation>
    <dataValidation sqref="G128" showDropDown="0" showInputMessage="0" showErrorMessage="0" allowBlank="1" type="list">
      <formula1>'⚙️ Config'!$G$2:$G$7</formula1>
    </dataValidation>
    <dataValidation sqref="C129" showDropDown="0" showInputMessage="0" showErrorMessage="0" allowBlank="1" type="list">
      <formula1>'⚙️ Config'!$A$2:$A$9</formula1>
    </dataValidation>
    <dataValidation sqref="E129" showDropDown="0" showInputMessage="0" showErrorMessage="0" allowBlank="1" type="list">
      <formula1>'🛤️ Learning Paths'!$B$4:$B$103</formula1>
    </dataValidation>
    <dataValidation sqref="G129" showDropDown="0" showInputMessage="0" showErrorMessage="0" allowBlank="1" type="list">
      <formula1>'⚙️ Config'!$G$2:$G$7</formula1>
    </dataValidation>
    <dataValidation sqref="C130" showDropDown="0" showInputMessage="0" showErrorMessage="0" allowBlank="1" type="list">
      <formula1>'⚙️ Config'!$A$2:$A$9</formula1>
    </dataValidation>
    <dataValidation sqref="E130" showDropDown="0" showInputMessage="0" showErrorMessage="0" allowBlank="1" type="list">
      <formula1>'🛤️ Learning Paths'!$B$4:$B$103</formula1>
    </dataValidation>
    <dataValidation sqref="G130" showDropDown="0" showInputMessage="0" showErrorMessage="0" allowBlank="1" type="list">
      <formula1>'⚙️ Config'!$G$2:$G$7</formula1>
    </dataValidation>
    <dataValidation sqref="C131" showDropDown="0" showInputMessage="0" showErrorMessage="0" allowBlank="1" type="list">
      <formula1>'⚙️ Config'!$A$2:$A$9</formula1>
    </dataValidation>
    <dataValidation sqref="E131" showDropDown="0" showInputMessage="0" showErrorMessage="0" allowBlank="1" type="list">
      <formula1>'🛤️ Learning Paths'!$B$4:$B$103</formula1>
    </dataValidation>
    <dataValidation sqref="G131" showDropDown="0" showInputMessage="0" showErrorMessage="0" allowBlank="1" type="list">
      <formula1>'⚙️ Config'!$G$2:$G$7</formula1>
    </dataValidation>
    <dataValidation sqref="C132" showDropDown="0" showInputMessage="0" showErrorMessage="0" allowBlank="1" type="list">
      <formula1>'⚙️ Config'!$A$2:$A$9</formula1>
    </dataValidation>
    <dataValidation sqref="E132" showDropDown="0" showInputMessage="0" showErrorMessage="0" allowBlank="1" type="list">
      <formula1>'🛤️ Learning Paths'!$B$4:$B$103</formula1>
    </dataValidation>
    <dataValidation sqref="G132" showDropDown="0" showInputMessage="0" showErrorMessage="0" allowBlank="1" type="list">
      <formula1>'⚙️ Config'!$G$2:$G$7</formula1>
    </dataValidation>
    <dataValidation sqref="C133" showDropDown="0" showInputMessage="0" showErrorMessage="0" allowBlank="1" type="list">
      <formula1>'⚙️ Config'!$A$2:$A$9</formula1>
    </dataValidation>
    <dataValidation sqref="E133" showDropDown="0" showInputMessage="0" showErrorMessage="0" allowBlank="1" type="list">
      <formula1>'🛤️ Learning Paths'!$B$4:$B$103</formula1>
    </dataValidation>
    <dataValidation sqref="G133" showDropDown="0" showInputMessage="0" showErrorMessage="0" allowBlank="1" type="list">
      <formula1>'⚙️ Config'!$G$2:$G$7</formula1>
    </dataValidation>
    <dataValidation sqref="C134" showDropDown="0" showInputMessage="0" showErrorMessage="0" allowBlank="1" type="list">
      <formula1>'⚙️ Config'!$A$2:$A$9</formula1>
    </dataValidation>
    <dataValidation sqref="E134" showDropDown="0" showInputMessage="0" showErrorMessage="0" allowBlank="1" type="list">
      <formula1>'🛤️ Learning Paths'!$B$4:$B$103</formula1>
    </dataValidation>
    <dataValidation sqref="G134" showDropDown="0" showInputMessage="0" showErrorMessage="0" allowBlank="1" type="list">
      <formula1>'⚙️ Config'!$G$2:$G$7</formula1>
    </dataValidation>
    <dataValidation sqref="C135" showDropDown="0" showInputMessage="0" showErrorMessage="0" allowBlank="1" type="list">
      <formula1>'⚙️ Config'!$A$2:$A$9</formula1>
    </dataValidation>
    <dataValidation sqref="E135" showDropDown="0" showInputMessage="0" showErrorMessage="0" allowBlank="1" type="list">
      <formula1>'🛤️ Learning Paths'!$B$4:$B$103</formula1>
    </dataValidation>
    <dataValidation sqref="G135" showDropDown="0" showInputMessage="0" showErrorMessage="0" allowBlank="1" type="list">
      <formula1>'⚙️ Config'!$G$2:$G$7</formula1>
    </dataValidation>
    <dataValidation sqref="C136" showDropDown="0" showInputMessage="0" showErrorMessage="0" allowBlank="1" type="list">
      <formula1>'⚙️ Config'!$A$2:$A$9</formula1>
    </dataValidation>
    <dataValidation sqref="E136" showDropDown="0" showInputMessage="0" showErrorMessage="0" allowBlank="1" type="list">
      <formula1>'🛤️ Learning Paths'!$B$4:$B$103</formula1>
    </dataValidation>
    <dataValidation sqref="G136" showDropDown="0" showInputMessage="0" showErrorMessage="0" allowBlank="1" type="list">
      <formula1>'⚙️ Config'!$G$2:$G$7</formula1>
    </dataValidation>
    <dataValidation sqref="C137" showDropDown="0" showInputMessage="0" showErrorMessage="0" allowBlank="1" type="list">
      <formula1>'⚙️ Config'!$A$2:$A$9</formula1>
    </dataValidation>
    <dataValidation sqref="E137" showDropDown="0" showInputMessage="0" showErrorMessage="0" allowBlank="1" type="list">
      <formula1>'🛤️ Learning Paths'!$B$4:$B$103</formula1>
    </dataValidation>
    <dataValidation sqref="G137" showDropDown="0" showInputMessage="0" showErrorMessage="0" allowBlank="1" type="list">
      <formula1>'⚙️ Config'!$G$2:$G$7</formula1>
    </dataValidation>
    <dataValidation sqref="C138" showDropDown="0" showInputMessage="0" showErrorMessage="0" allowBlank="1" type="list">
      <formula1>'⚙️ Config'!$A$2:$A$9</formula1>
    </dataValidation>
    <dataValidation sqref="E138" showDropDown="0" showInputMessage="0" showErrorMessage="0" allowBlank="1" type="list">
      <formula1>'🛤️ Learning Paths'!$B$4:$B$103</formula1>
    </dataValidation>
    <dataValidation sqref="G138" showDropDown="0" showInputMessage="0" showErrorMessage="0" allowBlank="1" type="list">
      <formula1>'⚙️ Config'!$G$2:$G$7</formula1>
    </dataValidation>
    <dataValidation sqref="C139" showDropDown="0" showInputMessage="0" showErrorMessage="0" allowBlank="1" type="list">
      <formula1>'⚙️ Config'!$A$2:$A$9</formula1>
    </dataValidation>
    <dataValidation sqref="E139" showDropDown="0" showInputMessage="0" showErrorMessage="0" allowBlank="1" type="list">
      <formula1>'🛤️ Learning Paths'!$B$4:$B$103</formula1>
    </dataValidation>
    <dataValidation sqref="G139" showDropDown="0" showInputMessage="0" showErrorMessage="0" allowBlank="1" type="list">
      <formula1>'⚙️ Config'!$G$2:$G$7</formula1>
    </dataValidation>
    <dataValidation sqref="C140" showDropDown="0" showInputMessage="0" showErrorMessage="0" allowBlank="1" type="list">
      <formula1>'⚙️ Config'!$A$2:$A$9</formula1>
    </dataValidation>
    <dataValidation sqref="E140" showDropDown="0" showInputMessage="0" showErrorMessage="0" allowBlank="1" type="list">
      <formula1>'🛤️ Learning Paths'!$B$4:$B$103</formula1>
    </dataValidation>
    <dataValidation sqref="G140" showDropDown="0" showInputMessage="0" showErrorMessage="0" allowBlank="1" type="list">
      <formula1>'⚙️ Config'!$G$2:$G$7</formula1>
    </dataValidation>
    <dataValidation sqref="C141" showDropDown="0" showInputMessage="0" showErrorMessage="0" allowBlank="1" type="list">
      <formula1>'⚙️ Config'!$A$2:$A$9</formula1>
    </dataValidation>
    <dataValidation sqref="E141" showDropDown="0" showInputMessage="0" showErrorMessage="0" allowBlank="1" type="list">
      <formula1>'🛤️ Learning Paths'!$B$4:$B$103</formula1>
    </dataValidation>
    <dataValidation sqref="G141" showDropDown="0" showInputMessage="0" showErrorMessage="0" allowBlank="1" type="list">
      <formula1>'⚙️ Config'!$G$2:$G$7</formula1>
    </dataValidation>
    <dataValidation sqref="C142" showDropDown="0" showInputMessage="0" showErrorMessage="0" allowBlank="1" type="list">
      <formula1>'⚙️ Config'!$A$2:$A$9</formula1>
    </dataValidation>
    <dataValidation sqref="E142" showDropDown="0" showInputMessage="0" showErrorMessage="0" allowBlank="1" type="list">
      <formula1>'🛤️ Learning Paths'!$B$4:$B$103</formula1>
    </dataValidation>
    <dataValidation sqref="G142" showDropDown="0" showInputMessage="0" showErrorMessage="0" allowBlank="1" type="list">
      <formula1>'⚙️ Config'!$G$2:$G$7</formula1>
    </dataValidation>
    <dataValidation sqref="C143" showDropDown="0" showInputMessage="0" showErrorMessage="0" allowBlank="1" type="list">
      <formula1>'⚙️ Config'!$A$2:$A$9</formula1>
    </dataValidation>
    <dataValidation sqref="E143" showDropDown="0" showInputMessage="0" showErrorMessage="0" allowBlank="1" type="list">
      <formula1>'🛤️ Learning Paths'!$B$4:$B$103</formula1>
    </dataValidation>
    <dataValidation sqref="G143" showDropDown="0" showInputMessage="0" showErrorMessage="0" allowBlank="1" type="list">
      <formula1>'⚙️ Config'!$G$2:$G$7</formula1>
    </dataValidation>
    <dataValidation sqref="C144" showDropDown="0" showInputMessage="0" showErrorMessage="0" allowBlank="1" type="list">
      <formula1>'⚙️ Config'!$A$2:$A$9</formula1>
    </dataValidation>
    <dataValidation sqref="E144" showDropDown="0" showInputMessage="0" showErrorMessage="0" allowBlank="1" type="list">
      <formula1>'🛤️ Learning Paths'!$B$4:$B$103</formula1>
    </dataValidation>
    <dataValidation sqref="G144" showDropDown="0" showInputMessage="0" showErrorMessage="0" allowBlank="1" type="list">
      <formula1>'⚙️ Config'!$G$2:$G$7</formula1>
    </dataValidation>
    <dataValidation sqref="C145" showDropDown="0" showInputMessage="0" showErrorMessage="0" allowBlank="1" type="list">
      <formula1>'⚙️ Config'!$A$2:$A$9</formula1>
    </dataValidation>
    <dataValidation sqref="E145" showDropDown="0" showInputMessage="0" showErrorMessage="0" allowBlank="1" type="list">
      <formula1>'🛤️ Learning Paths'!$B$4:$B$103</formula1>
    </dataValidation>
    <dataValidation sqref="G145" showDropDown="0" showInputMessage="0" showErrorMessage="0" allowBlank="1" type="list">
      <formula1>'⚙️ Config'!$G$2:$G$7</formula1>
    </dataValidation>
    <dataValidation sqref="C146" showDropDown="0" showInputMessage="0" showErrorMessage="0" allowBlank="1" type="list">
      <formula1>'⚙️ Config'!$A$2:$A$9</formula1>
    </dataValidation>
    <dataValidation sqref="E146" showDropDown="0" showInputMessage="0" showErrorMessage="0" allowBlank="1" type="list">
      <formula1>'🛤️ Learning Paths'!$B$4:$B$103</formula1>
    </dataValidation>
    <dataValidation sqref="G146" showDropDown="0" showInputMessage="0" showErrorMessage="0" allowBlank="1" type="list">
      <formula1>'⚙️ Config'!$G$2:$G$7</formula1>
    </dataValidation>
    <dataValidation sqref="C147" showDropDown="0" showInputMessage="0" showErrorMessage="0" allowBlank="1" type="list">
      <formula1>'⚙️ Config'!$A$2:$A$9</formula1>
    </dataValidation>
    <dataValidation sqref="E147" showDropDown="0" showInputMessage="0" showErrorMessage="0" allowBlank="1" type="list">
      <formula1>'🛤️ Learning Paths'!$B$4:$B$103</formula1>
    </dataValidation>
    <dataValidation sqref="G147" showDropDown="0" showInputMessage="0" showErrorMessage="0" allowBlank="1" type="list">
      <formula1>'⚙️ Config'!$G$2:$G$7</formula1>
    </dataValidation>
    <dataValidation sqref="C148" showDropDown="0" showInputMessage="0" showErrorMessage="0" allowBlank="1" type="list">
      <formula1>'⚙️ Config'!$A$2:$A$9</formula1>
    </dataValidation>
    <dataValidation sqref="E148" showDropDown="0" showInputMessage="0" showErrorMessage="0" allowBlank="1" type="list">
      <formula1>'🛤️ Learning Paths'!$B$4:$B$103</formula1>
    </dataValidation>
    <dataValidation sqref="G148" showDropDown="0" showInputMessage="0" showErrorMessage="0" allowBlank="1" type="list">
      <formula1>'⚙️ Config'!$G$2:$G$7</formula1>
    </dataValidation>
    <dataValidation sqref="C149" showDropDown="0" showInputMessage="0" showErrorMessage="0" allowBlank="1" type="list">
      <formula1>'⚙️ Config'!$A$2:$A$9</formula1>
    </dataValidation>
    <dataValidation sqref="E149" showDropDown="0" showInputMessage="0" showErrorMessage="0" allowBlank="1" type="list">
      <formula1>'🛤️ Learning Paths'!$B$4:$B$103</formula1>
    </dataValidation>
    <dataValidation sqref="G149" showDropDown="0" showInputMessage="0" showErrorMessage="0" allowBlank="1" type="list">
      <formula1>'⚙️ Config'!$G$2:$G$7</formula1>
    </dataValidation>
    <dataValidation sqref="C150" showDropDown="0" showInputMessage="0" showErrorMessage="0" allowBlank="1" type="list">
      <formula1>'⚙️ Config'!$A$2:$A$9</formula1>
    </dataValidation>
    <dataValidation sqref="E150" showDropDown="0" showInputMessage="0" showErrorMessage="0" allowBlank="1" type="list">
      <formula1>'🛤️ Learning Paths'!$B$4:$B$103</formula1>
    </dataValidation>
    <dataValidation sqref="G150" showDropDown="0" showInputMessage="0" showErrorMessage="0" allowBlank="1" type="list">
      <formula1>'⚙️ Config'!$G$2:$G$7</formula1>
    </dataValidation>
    <dataValidation sqref="C151" showDropDown="0" showInputMessage="0" showErrorMessage="0" allowBlank="1" type="list">
      <formula1>'⚙️ Config'!$A$2:$A$9</formula1>
    </dataValidation>
    <dataValidation sqref="E151" showDropDown="0" showInputMessage="0" showErrorMessage="0" allowBlank="1" type="list">
      <formula1>'🛤️ Learning Paths'!$B$4:$B$103</formula1>
    </dataValidation>
    <dataValidation sqref="G151" showDropDown="0" showInputMessage="0" showErrorMessage="0" allowBlank="1" type="list">
      <formula1>'⚙️ Config'!$G$2:$G$7</formula1>
    </dataValidation>
    <dataValidation sqref="C152" showDropDown="0" showInputMessage="0" showErrorMessage="0" allowBlank="1" type="list">
      <formula1>'⚙️ Config'!$A$2:$A$9</formula1>
    </dataValidation>
    <dataValidation sqref="E152" showDropDown="0" showInputMessage="0" showErrorMessage="0" allowBlank="1" type="list">
      <formula1>'🛤️ Learning Paths'!$B$4:$B$103</formula1>
    </dataValidation>
    <dataValidation sqref="G152" showDropDown="0" showInputMessage="0" showErrorMessage="0" allowBlank="1" type="list">
      <formula1>'⚙️ Config'!$G$2:$G$7</formula1>
    </dataValidation>
    <dataValidation sqref="C153" showDropDown="0" showInputMessage="0" showErrorMessage="0" allowBlank="1" type="list">
      <formula1>'⚙️ Config'!$A$2:$A$9</formula1>
    </dataValidation>
    <dataValidation sqref="E153" showDropDown="0" showInputMessage="0" showErrorMessage="0" allowBlank="1" type="list">
      <formula1>'🛤️ Learning Paths'!$B$4:$B$103</formula1>
    </dataValidation>
    <dataValidation sqref="G153" showDropDown="0" showInputMessage="0" showErrorMessage="0" allowBlank="1" type="list">
      <formula1>'⚙️ Config'!$G$2:$G$7</formula1>
    </dataValidation>
    <dataValidation sqref="C154" showDropDown="0" showInputMessage="0" showErrorMessage="0" allowBlank="1" type="list">
      <formula1>'⚙️ Config'!$A$2:$A$9</formula1>
    </dataValidation>
    <dataValidation sqref="E154" showDropDown="0" showInputMessage="0" showErrorMessage="0" allowBlank="1" type="list">
      <formula1>'🛤️ Learning Paths'!$B$4:$B$103</formula1>
    </dataValidation>
    <dataValidation sqref="G154" showDropDown="0" showInputMessage="0" showErrorMessage="0" allowBlank="1" type="list">
      <formula1>'⚙️ Config'!$G$2:$G$7</formula1>
    </dataValidation>
    <dataValidation sqref="C155" showDropDown="0" showInputMessage="0" showErrorMessage="0" allowBlank="1" type="list">
      <formula1>'⚙️ Config'!$A$2:$A$9</formula1>
    </dataValidation>
    <dataValidation sqref="E155" showDropDown="0" showInputMessage="0" showErrorMessage="0" allowBlank="1" type="list">
      <formula1>'🛤️ Learning Paths'!$B$4:$B$103</formula1>
    </dataValidation>
    <dataValidation sqref="G155" showDropDown="0" showInputMessage="0" showErrorMessage="0" allowBlank="1" type="list">
      <formula1>'⚙️ Config'!$G$2:$G$7</formula1>
    </dataValidation>
    <dataValidation sqref="C156" showDropDown="0" showInputMessage="0" showErrorMessage="0" allowBlank="1" type="list">
      <formula1>'⚙️ Config'!$A$2:$A$9</formula1>
    </dataValidation>
    <dataValidation sqref="E156" showDropDown="0" showInputMessage="0" showErrorMessage="0" allowBlank="1" type="list">
      <formula1>'🛤️ Learning Paths'!$B$4:$B$103</formula1>
    </dataValidation>
    <dataValidation sqref="G156" showDropDown="0" showInputMessage="0" showErrorMessage="0" allowBlank="1" type="list">
      <formula1>'⚙️ Config'!$G$2:$G$7</formula1>
    </dataValidation>
    <dataValidation sqref="C157" showDropDown="0" showInputMessage="0" showErrorMessage="0" allowBlank="1" type="list">
      <formula1>'⚙️ Config'!$A$2:$A$9</formula1>
    </dataValidation>
    <dataValidation sqref="E157" showDropDown="0" showInputMessage="0" showErrorMessage="0" allowBlank="1" type="list">
      <formula1>'🛤️ Learning Paths'!$B$4:$B$103</formula1>
    </dataValidation>
    <dataValidation sqref="G157" showDropDown="0" showInputMessage="0" showErrorMessage="0" allowBlank="1" type="list">
      <formula1>'⚙️ Config'!$G$2:$G$7</formula1>
    </dataValidation>
    <dataValidation sqref="C158" showDropDown="0" showInputMessage="0" showErrorMessage="0" allowBlank="1" type="list">
      <formula1>'⚙️ Config'!$A$2:$A$9</formula1>
    </dataValidation>
    <dataValidation sqref="E158" showDropDown="0" showInputMessage="0" showErrorMessage="0" allowBlank="1" type="list">
      <formula1>'🛤️ Learning Paths'!$B$4:$B$103</formula1>
    </dataValidation>
    <dataValidation sqref="G158" showDropDown="0" showInputMessage="0" showErrorMessage="0" allowBlank="1" type="list">
      <formula1>'⚙️ Config'!$G$2:$G$7</formula1>
    </dataValidation>
    <dataValidation sqref="C159" showDropDown="0" showInputMessage="0" showErrorMessage="0" allowBlank="1" type="list">
      <formula1>'⚙️ Config'!$A$2:$A$9</formula1>
    </dataValidation>
    <dataValidation sqref="E159" showDropDown="0" showInputMessage="0" showErrorMessage="0" allowBlank="1" type="list">
      <formula1>'🛤️ Learning Paths'!$B$4:$B$103</formula1>
    </dataValidation>
    <dataValidation sqref="G159" showDropDown="0" showInputMessage="0" showErrorMessage="0" allowBlank="1" type="list">
      <formula1>'⚙️ Config'!$G$2:$G$7</formula1>
    </dataValidation>
    <dataValidation sqref="C160" showDropDown="0" showInputMessage="0" showErrorMessage="0" allowBlank="1" type="list">
      <formula1>'⚙️ Config'!$A$2:$A$9</formula1>
    </dataValidation>
    <dataValidation sqref="E160" showDropDown="0" showInputMessage="0" showErrorMessage="0" allowBlank="1" type="list">
      <formula1>'🛤️ Learning Paths'!$B$4:$B$103</formula1>
    </dataValidation>
    <dataValidation sqref="G160" showDropDown="0" showInputMessage="0" showErrorMessage="0" allowBlank="1" type="list">
      <formula1>'⚙️ Config'!$G$2:$G$7</formula1>
    </dataValidation>
    <dataValidation sqref="C161" showDropDown="0" showInputMessage="0" showErrorMessage="0" allowBlank="1" type="list">
      <formula1>'⚙️ Config'!$A$2:$A$9</formula1>
    </dataValidation>
    <dataValidation sqref="E161" showDropDown="0" showInputMessage="0" showErrorMessage="0" allowBlank="1" type="list">
      <formula1>'🛤️ Learning Paths'!$B$4:$B$103</formula1>
    </dataValidation>
    <dataValidation sqref="G161" showDropDown="0" showInputMessage="0" showErrorMessage="0" allowBlank="1" type="list">
      <formula1>'⚙️ Config'!$G$2:$G$7</formula1>
    </dataValidation>
    <dataValidation sqref="C162" showDropDown="0" showInputMessage="0" showErrorMessage="0" allowBlank="1" type="list">
      <formula1>'⚙️ Config'!$A$2:$A$9</formula1>
    </dataValidation>
    <dataValidation sqref="E162" showDropDown="0" showInputMessage="0" showErrorMessage="0" allowBlank="1" type="list">
      <formula1>'🛤️ Learning Paths'!$B$4:$B$103</formula1>
    </dataValidation>
    <dataValidation sqref="G162" showDropDown="0" showInputMessage="0" showErrorMessage="0" allowBlank="1" type="list">
      <formula1>'⚙️ Config'!$G$2:$G$7</formula1>
    </dataValidation>
    <dataValidation sqref="C163" showDropDown="0" showInputMessage="0" showErrorMessage="0" allowBlank="1" type="list">
      <formula1>'⚙️ Config'!$A$2:$A$9</formula1>
    </dataValidation>
    <dataValidation sqref="E163" showDropDown="0" showInputMessage="0" showErrorMessage="0" allowBlank="1" type="list">
      <formula1>'🛤️ Learning Paths'!$B$4:$B$103</formula1>
    </dataValidation>
    <dataValidation sqref="G163" showDropDown="0" showInputMessage="0" showErrorMessage="0" allowBlank="1" type="list">
      <formula1>'⚙️ Config'!$G$2:$G$7</formula1>
    </dataValidation>
    <dataValidation sqref="C164" showDropDown="0" showInputMessage="0" showErrorMessage="0" allowBlank="1" type="list">
      <formula1>'⚙️ Config'!$A$2:$A$9</formula1>
    </dataValidation>
    <dataValidation sqref="E164" showDropDown="0" showInputMessage="0" showErrorMessage="0" allowBlank="1" type="list">
      <formula1>'🛤️ Learning Paths'!$B$4:$B$103</formula1>
    </dataValidation>
    <dataValidation sqref="G164" showDropDown="0" showInputMessage="0" showErrorMessage="0" allowBlank="1" type="list">
      <formula1>'⚙️ Config'!$G$2:$G$7</formula1>
    </dataValidation>
    <dataValidation sqref="C165" showDropDown="0" showInputMessage="0" showErrorMessage="0" allowBlank="1" type="list">
      <formula1>'⚙️ Config'!$A$2:$A$9</formula1>
    </dataValidation>
    <dataValidation sqref="E165" showDropDown="0" showInputMessage="0" showErrorMessage="0" allowBlank="1" type="list">
      <formula1>'🛤️ Learning Paths'!$B$4:$B$103</formula1>
    </dataValidation>
    <dataValidation sqref="G165" showDropDown="0" showInputMessage="0" showErrorMessage="0" allowBlank="1" type="list">
      <formula1>'⚙️ Config'!$G$2:$G$7</formula1>
    </dataValidation>
    <dataValidation sqref="C166" showDropDown="0" showInputMessage="0" showErrorMessage="0" allowBlank="1" type="list">
      <formula1>'⚙️ Config'!$A$2:$A$9</formula1>
    </dataValidation>
    <dataValidation sqref="E166" showDropDown="0" showInputMessage="0" showErrorMessage="0" allowBlank="1" type="list">
      <formula1>'🛤️ Learning Paths'!$B$4:$B$103</formula1>
    </dataValidation>
    <dataValidation sqref="G166" showDropDown="0" showInputMessage="0" showErrorMessage="0" allowBlank="1" type="list">
      <formula1>'⚙️ Config'!$G$2:$G$7</formula1>
    </dataValidation>
    <dataValidation sqref="C167" showDropDown="0" showInputMessage="0" showErrorMessage="0" allowBlank="1" type="list">
      <formula1>'⚙️ Config'!$A$2:$A$9</formula1>
    </dataValidation>
    <dataValidation sqref="E167" showDropDown="0" showInputMessage="0" showErrorMessage="0" allowBlank="1" type="list">
      <formula1>'🛤️ Learning Paths'!$B$4:$B$103</formula1>
    </dataValidation>
    <dataValidation sqref="G167" showDropDown="0" showInputMessage="0" showErrorMessage="0" allowBlank="1" type="list">
      <formula1>'⚙️ Config'!$G$2:$G$7</formula1>
    </dataValidation>
    <dataValidation sqref="C168" showDropDown="0" showInputMessage="0" showErrorMessage="0" allowBlank="1" type="list">
      <formula1>'⚙️ Config'!$A$2:$A$9</formula1>
    </dataValidation>
    <dataValidation sqref="E168" showDropDown="0" showInputMessage="0" showErrorMessage="0" allowBlank="1" type="list">
      <formula1>'🛤️ Learning Paths'!$B$4:$B$103</formula1>
    </dataValidation>
    <dataValidation sqref="G168" showDropDown="0" showInputMessage="0" showErrorMessage="0" allowBlank="1" type="list">
      <formula1>'⚙️ Config'!$G$2:$G$7</formula1>
    </dataValidation>
    <dataValidation sqref="C169" showDropDown="0" showInputMessage="0" showErrorMessage="0" allowBlank="1" type="list">
      <formula1>'⚙️ Config'!$A$2:$A$9</formula1>
    </dataValidation>
    <dataValidation sqref="E169" showDropDown="0" showInputMessage="0" showErrorMessage="0" allowBlank="1" type="list">
      <formula1>'🛤️ Learning Paths'!$B$4:$B$103</formula1>
    </dataValidation>
    <dataValidation sqref="G169" showDropDown="0" showInputMessage="0" showErrorMessage="0" allowBlank="1" type="list">
      <formula1>'⚙️ Config'!$G$2:$G$7</formula1>
    </dataValidation>
    <dataValidation sqref="C170" showDropDown="0" showInputMessage="0" showErrorMessage="0" allowBlank="1" type="list">
      <formula1>'⚙️ Config'!$A$2:$A$9</formula1>
    </dataValidation>
    <dataValidation sqref="E170" showDropDown="0" showInputMessage="0" showErrorMessage="0" allowBlank="1" type="list">
      <formula1>'🛤️ Learning Paths'!$B$4:$B$103</formula1>
    </dataValidation>
    <dataValidation sqref="G170" showDropDown="0" showInputMessage="0" showErrorMessage="0" allowBlank="1" type="list">
      <formula1>'⚙️ Config'!$G$2:$G$7</formula1>
    </dataValidation>
    <dataValidation sqref="C171" showDropDown="0" showInputMessage="0" showErrorMessage="0" allowBlank="1" type="list">
      <formula1>'⚙️ Config'!$A$2:$A$9</formula1>
    </dataValidation>
    <dataValidation sqref="E171" showDropDown="0" showInputMessage="0" showErrorMessage="0" allowBlank="1" type="list">
      <formula1>'🛤️ Learning Paths'!$B$4:$B$103</formula1>
    </dataValidation>
    <dataValidation sqref="G171" showDropDown="0" showInputMessage="0" showErrorMessage="0" allowBlank="1" type="list">
      <formula1>'⚙️ Config'!$G$2:$G$7</formula1>
    </dataValidation>
    <dataValidation sqref="C172" showDropDown="0" showInputMessage="0" showErrorMessage="0" allowBlank="1" type="list">
      <formula1>'⚙️ Config'!$A$2:$A$9</formula1>
    </dataValidation>
    <dataValidation sqref="E172" showDropDown="0" showInputMessage="0" showErrorMessage="0" allowBlank="1" type="list">
      <formula1>'🛤️ Learning Paths'!$B$4:$B$103</formula1>
    </dataValidation>
    <dataValidation sqref="G172" showDropDown="0" showInputMessage="0" showErrorMessage="0" allowBlank="1" type="list">
      <formula1>'⚙️ Config'!$G$2:$G$7</formula1>
    </dataValidation>
    <dataValidation sqref="C173" showDropDown="0" showInputMessage="0" showErrorMessage="0" allowBlank="1" type="list">
      <formula1>'⚙️ Config'!$A$2:$A$9</formula1>
    </dataValidation>
    <dataValidation sqref="E173" showDropDown="0" showInputMessage="0" showErrorMessage="0" allowBlank="1" type="list">
      <formula1>'🛤️ Learning Paths'!$B$4:$B$103</formula1>
    </dataValidation>
    <dataValidation sqref="G173" showDropDown="0" showInputMessage="0" showErrorMessage="0" allowBlank="1" type="list">
      <formula1>'⚙️ Config'!$G$2:$G$7</formula1>
    </dataValidation>
    <dataValidation sqref="C174" showDropDown="0" showInputMessage="0" showErrorMessage="0" allowBlank="1" type="list">
      <formula1>'⚙️ Config'!$A$2:$A$9</formula1>
    </dataValidation>
    <dataValidation sqref="E174" showDropDown="0" showInputMessage="0" showErrorMessage="0" allowBlank="1" type="list">
      <formula1>'🛤️ Learning Paths'!$B$4:$B$103</formula1>
    </dataValidation>
    <dataValidation sqref="G174" showDropDown="0" showInputMessage="0" showErrorMessage="0" allowBlank="1" type="list">
      <formula1>'⚙️ Config'!$G$2:$G$7</formula1>
    </dataValidation>
    <dataValidation sqref="C175" showDropDown="0" showInputMessage="0" showErrorMessage="0" allowBlank="1" type="list">
      <formula1>'⚙️ Config'!$A$2:$A$9</formula1>
    </dataValidation>
    <dataValidation sqref="E175" showDropDown="0" showInputMessage="0" showErrorMessage="0" allowBlank="1" type="list">
      <formula1>'🛤️ Learning Paths'!$B$4:$B$103</formula1>
    </dataValidation>
    <dataValidation sqref="G175" showDropDown="0" showInputMessage="0" showErrorMessage="0" allowBlank="1" type="list">
      <formula1>'⚙️ Config'!$G$2:$G$7</formula1>
    </dataValidation>
    <dataValidation sqref="C176" showDropDown="0" showInputMessage="0" showErrorMessage="0" allowBlank="1" type="list">
      <formula1>'⚙️ Config'!$A$2:$A$9</formula1>
    </dataValidation>
    <dataValidation sqref="E176" showDropDown="0" showInputMessage="0" showErrorMessage="0" allowBlank="1" type="list">
      <formula1>'🛤️ Learning Paths'!$B$4:$B$103</formula1>
    </dataValidation>
    <dataValidation sqref="G176" showDropDown="0" showInputMessage="0" showErrorMessage="0" allowBlank="1" type="list">
      <formula1>'⚙️ Config'!$G$2:$G$7</formula1>
    </dataValidation>
    <dataValidation sqref="C177" showDropDown="0" showInputMessage="0" showErrorMessage="0" allowBlank="1" type="list">
      <formula1>'⚙️ Config'!$A$2:$A$9</formula1>
    </dataValidation>
    <dataValidation sqref="E177" showDropDown="0" showInputMessage="0" showErrorMessage="0" allowBlank="1" type="list">
      <formula1>'🛤️ Learning Paths'!$B$4:$B$103</formula1>
    </dataValidation>
    <dataValidation sqref="G177" showDropDown="0" showInputMessage="0" showErrorMessage="0" allowBlank="1" type="list">
      <formula1>'⚙️ Config'!$G$2:$G$7</formula1>
    </dataValidation>
    <dataValidation sqref="C178" showDropDown="0" showInputMessage="0" showErrorMessage="0" allowBlank="1" type="list">
      <formula1>'⚙️ Config'!$A$2:$A$9</formula1>
    </dataValidation>
    <dataValidation sqref="E178" showDropDown="0" showInputMessage="0" showErrorMessage="0" allowBlank="1" type="list">
      <formula1>'🛤️ Learning Paths'!$B$4:$B$103</formula1>
    </dataValidation>
    <dataValidation sqref="G178" showDropDown="0" showInputMessage="0" showErrorMessage="0" allowBlank="1" type="list">
      <formula1>'⚙️ Config'!$G$2:$G$7</formula1>
    </dataValidation>
    <dataValidation sqref="C179" showDropDown="0" showInputMessage="0" showErrorMessage="0" allowBlank="1" type="list">
      <formula1>'⚙️ Config'!$A$2:$A$9</formula1>
    </dataValidation>
    <dataValidation sqref="E179" showDropDown="0" showInputMessage="0" showErrorMessage="0" allowBlank="1" type="list">
      <formula1>'🛤️ Learning Paths'!$B$4:$B$103</formula1>
    </dataValidation>
    <dataValidation sqref="G179" showDropDown="0" showInputMessage="0" showErrorMessage="0" allowBlank="1" type="list">
      <formula1>'⚙️ Config'!$G$2:$G$7</formula1>
    </dataValidation>
    <dataValidation sqref="C180" showDropDown="0" showInputMessage="0" showErrorMessage="0" allowBlank="1" type="list">
      <formula1>'⚙️ Config'!$A$2:$A$9</formula1>
    </dataValidation>
    <dataValidation sqref="E180" showDropDown="0" showInputMessage="0" showErrorMessage="0" allowBlank="1" type="list">
      <formula1>'🛤️ Learning Paths'!$B$4:$B$103</formula1>
    </dataValidation>
    <dataValidation sqref="G180" showDropDown="0" showInputMessage="0" showErrorMessage="0" allowBlank="1" type="list">
      <formula1>'⚙️ Config'!$G$2:$G$7</formula1>
    </dataValidation>
    <dataValidation sqref="C181" showDropDown="0" showInputMessage="0" showErrorMessage="0" allowBlank="1" type="list">
      <formula1>'⚙️ Config'!$A$2:$A$9</formula1>
    </dataValidation>
    <dataValidation sqref="E181" showDropDown="0" showInputMessage="0" showErrorMessage="0" allowBlank="1" type="list">
      <formula1>'🛤️ Learning Paths'!$B$4:$B$103</formula1>
    </dataValidation>
    <dataValidation sqref="G181" showDropDown="0" showInputMessage="0" showErrorMessage="0" allowBlank="1" type="list">
      <formula1>'⚙️ Config'!$G$2:$G$7</formula1>
    </dataValidation>
    <dataValidation sqref="C182" showDropDown="0" showInputMessage="0" showErrorMessage="0" allowBlank="1" type="list">
      <formula1>'⚙️ Config'!$A$2:$A$9</formula1>
    </dataValidation>
    <dataValidation sqref="E182" showDropDown="0" showInputMessage="0" showErrorMessage="0" allowBlank="1" type="list">
      <formula1>'🛤️ Learning Paths'!$B$4:$B$103</formula1>
    </dataValidation>
    <dataValidation sqref="G182" showDropDown="0" showInputMessage="0" showErrorMessage="0" allowBlank="1" type="list">
      <formula1>'⚙️ Config'!$G$2:$G$7</formula1>
    </dataValidation>
    <dataValidation sqref="C183" showDropDown="0" showInputMessage="0" showErrorMessage="0" allowBlank="1" type="list">
      <formula1>'⚙️ Config'!$A$2:$A$9</formula1>
    </dataValidation>
    <dataValidation sqref="E183" showDropDown="0" showInputMessage="0" showErrorMessage="0" allowBlank="1" type="list">
      <formula1>'🛤️ Learning Paths'!$B$4:$B$103</formula1>
    </dataValidation>
    <dataValidation sqref="G183" showDropDown="0" showInputMessage="0" showErrorMessage="0" allowBlank="1" type="list">
      <formula1>'⚙️ Config'!$G$2:$G$7</formula1>
    </dataValidation>
    <dataValidation sqref="C184" showDropDown="0" showInputMessage="0" showErrorMessage="0" allowBlank="1" type="list">
      <formula1>'⚙️ Config'!$A$2:$A$9</formula1>
    </dataValidation>
    <dataValidation sqref="E184" showDropDown="0" showInputMessage="0" showErrorMessage="0" allowBlank="1" type="list">
      <formula1>'🛤️ Learning Paths'!$B$4:$B$103</formula1>
    </dataValidation>
    <dataValidation sqref="G184" showDropDown="0" showInputMessage="0" showErrorMessage="0" allowBlank="1" type="list">
      <formula1>'⚙️ Config'!$G$2:$G$7</formula1>
    </dataValidation>
    <dataValidation sqref="C185" showDropDown="0" showInputMessage="0" showErrorMessage="0" allowBlank="1" type="list">
      <formula1>'⚙️ Config'!$A$2:$A$9</formula1>
    </dataValidation>
    <dataValidation sqref="E185" showDropDown="0" showInputMessage="0" showErrorMessage="0" allowBlank="1" type="list">
      <formula1>'🛤️ Learning Paths'!$B$4:$B$103</formula1>
    </dataValidation>
    <dataValidation sqref="G185" showDropDown="0" showInputMessage="0" showErrorMessage="0" allowBlank="1" type="list">
      <formula1>'⚙️ Config'!$G$2:$G$7</formula1>
    </dataValidation>
    <dataValidation sqref="C186" showDropDown="0" showInputMessage="0" showErrorMessage="0" allowBlank="1" type="list">
      <formula1>'⚙️ Config'!$A$2:$A$9</formula1>
    </dataValidation>
    <dataValidation sqref="E186" showDropDown="0" showInputMessage="0" showErrorMessage="0" allowBlank="1" type="list">
      <formula1>'🛤️ Learning Paths'!$B$4:$B$103</formula1>
    </dataValidation>
    <dataValidation sqref="G186" showDropDown="0" showInputMessage="0" showErrorMessage="0" allowBlank="1" type="list">
      <formula1>'⚙️ Config'!$G$2:$G$7</formula1>
    </dataValidation>
    <dataValidation sqref="C187" showDropDown="0" showInputMessage="0" showErrorMessage="0" allowBlank="1" type="list">
      <formula1>'⚙️ Config'!$A$2:$A$9</formula1>
    </dataValidation>
    <dataValidation sqref="E187" showDropDown="0" showInputMessage="0" showErrorMessage="0" allowBlank="1" type="list">
      <formula1>'🛤️ Learning Paths'!$B$4:$B$103</formula1>
    </dataValidation>
    <dataValidation sqref="G187" showDropDown="0" showInputMessage="0" showErrorMessage="0" allowBlank="1" type="list">
      <formula1>'⚙️ Config'!$G$2:$G$7</formula1>
    </dataValidation>
    <dataValidation sqref="C188" showDropDown="0" showInputMessage="0" showErrorMessage="0" allowBlank="1" type="list">
      <formula1>'⚙️ Config'!$A$2:$A$9</formula1>
    </dataValidation>
    <dataValidation sqref="E188" showDropDown="0" showInputMessage="0" showErrorMessage="0" allowBlank="1" type="list">
      <formula1>'🛤️ Learning Paths'!$B$4:$B$103</formula1>
    </dataValidation>
    <dataValidation sqref="G188" showDropDown="0" showInputMessage="0" showErrorMessage="0" allowBlank="1" type="list">
      <formula1>'⚙️ Config'!$G$2:$G$7</formula1>
    </dataValidation>
    <dataValidation sqref="C189" showDropDown="0" showInputMessage="0" showErrorMessage="0" allowBlank="1" type="list">
      <formula1>'⚙️ Config'!$A$2:$A$9</formula1>
    </dataValidation>
    <dataValidation sqref="E189" showDropDown="0" showInputMessage="0" showErrorMessage="0" allowBlank="1" type="list">
      <formula1>'🛤️ Learning Paths'!$B$4:$B$103</formula1>
    </dataValidation>
    <dataValidation sqref="G189" showDropDown="0" showInputMessage="0" showErrorMessage="0" allowBlank="1" type="list">
      <formula1>'⚙️ Config'!$G$2:$G$7</formula1>
    </dataValidation>
    <dataValidation sqref="C190" showDropDown="0" showInputMessage="0" showErrorMessage="0" allowBlank="1" type="list">
      <formula1>'⚙️ Config'!$A$2:$A$9</formula1>
    </dataValidation>
    <dataValidation sqref="E190" showDropDown="0" showInputMessage="0" showErrorMessage="0" allowBlank="1" type="list">
      <formula1>'🛤️ Learning Paths'!$B$4:$B$103</formula1>
    </dataValidation>
    <dataValidation sqref="G190" showDropDown="0" showInputMessage="0" showErrorMessage="0" allowBlank="1" type="list">
      <formula1>'⚙️ Config'!$G$2:$G$7</formula1>
    </dataValidation>
    <dataValidation sqref="C191" showDropDown="0" showInputMessage="0" showErrorMessage="0" allowBlank="1" type="list">
      <formula1>'⚙️ Config'!$A$2:$A$9</formula1>
    </dataValidation>
    <dataValidation sqref="E191" showDropDown="0" showInputMessage="0" showErrorMessage="0" allowBlank="1" type="list">
      <formula1>'🛤️ Learning Paths'!$B$4:$B$103</formula1>
    </dataValidation>
    <dataValidation sqref="G191" showDropDown="0" showInputMessage="0" showErrorMessage="0" allowBlank="1" type="list">
      <formula1>'⚙️ Config'!$G$2:$G$7</formula1>
    </dataValidation>
    <dataValidation sqref="C192" showDropDown="0" showInputMessage="0" showErrorMessage="0" allowBlank="1" type="list">
      <formula1>'⚙️ Config'!$A$2:$A$9</formula1>
    </dataValidation>
    <dataValidation sqref="E192" showDropDown="0" showInputMessage="0" showErrorMessage="0" allowBlank="1" type="list">
      <formula1>'🛤️ Learning Paths'!$B$4:$B$103</formula1>
    </dataValidation>
    <dataValidation sqref="G192" showDropDown="0" showInputMessage="0" showErrorMessage="0" allowBlank="1" type="list">
      <formula1>'⚙️ Config'!$G$2:$G$7</formula1>
    </dataValidation>
    <dataValidation sqref="C193" showDropDown="0" showInputMessage="0" showErrorMessage="0" allowBlank="1" type="list">
      <formula1>'⚙️ Config'!$A$2:$A$9</formula1>
    </dataValidation>
    <dataValidation sqref="E193" showDropDown="0" showInputMessage="0" showErrorMessage="0" allowBlank="1" type="list">
      <formula1>'🛤️ Learning Paths'!$B$4:$B$103</formula1>
    </dataValidation>
    <dataValidation sqref="G193" showDropDown="0" showInputMessage="0" showErrorMessage="0" allowBlank="1" type="list">
      <formula1>'⚙️ Config'!$G$2:$G$7</formula1>
    </dataValidation>
    <dataValidation sqref="C194" showDropDown="0" showInputMessage="0" showErrorMessage="0" allowBlank="1" type="list">
      <formula1>'⚙️ Config'!$A$2:$A$9</formula1>
    </dataValidation>
    <dataValidation sqref="E194" showDropDown="0" showInputMessage="0" showErrorMessage="0" allowBlank="1" type="list">
      <formula1>'🛤️ Learning Paths'!$B$4:$B$103</formula1>
    </dataValidation>
    <dataValidation sqref="G194" showDropDown="0" showInputMessage="0" showErrorMessage="0" allowBlank="1" type="list">
      <formula1>'⚙️ Config'!$G$2:$G$7</formula1>
    </dataValidation>
    <dataValidation sqref="C195" showDropDown="0" showInputMessage="0" showErrorMessage="0" allowBlank="1" type="list">
      <formula1>'⚙️ Config'!$A$2:$A$9</formula1>
    </dataValidation>
    <dataValidation sqref="E195" showDropDown="0" showInputMessage="0" showErrorMessage="0" allowBlank="1" type="list">
      <formula1>'🛤️ Learning Paths'!$B$4:$B$103</formula1>
    </dataValidation>
    <dataValidation sqref="G195" showDropDown="0" showInputMessage="0" showErrorMessage="0" allowBlank="1" type="list">
      <formula1>'⚙️ Config'!$G$2:$G$7</formula1>
    </dataValidation>
    <dataValidation sqref="C196" showDropDown="0" showInputMessage="0" showErrorMessage="0" allowBlank="1" type="list">
      <formula1>'⚙️ Config'!$A$2:$A$9</formula1>
    </dataValidation>
    <dataValidation sqref="E196" showDropDown="0" showInputMessage="0" showErrorMessage="0" allowBlank="1" type="list">
      <formula1>'🛤️ Learning Paths'!$B$4:$B$103</formula1>
    </dataValidation>
    <dataValidation sqref="G196" showDropDown="0" showInputMessage="0" showErrorMessage="0" allowBlank="1" type="list">
      <formula1>'⚙️ Config'!$G$2:$G$7</formula1>
    </dataValidation>
    <dataValidation sqref="C197" showDropDown="0" showInputMessage="0" showErrorMessage="0" allowBlank="1" type="list">
      <formula1>'⚙️ Config'!$A$2:$A$9</formula1>
    </dataValidation>
    <dataValidation sqref="E197" showDropDown="0" showInputMessage="0" showErrorMessage="0" allowBlank="1" type="list">
      <formula1>'🛤️ Learning Paths'!$B$4:$B$103</formula1>
    </dataValidation>
    <dataValidation sqref="G197" showDropDown="0" showInputMessage="0" showErrorMessage="0" allowBlank="1" type="list">
      <formula1>'⚙️ Config'!$G$2:$G$7</formula1>
    </dataValidation>
    <dataValidation sqref="C198" showDropDown="0" showInputMessage="0" showErrorMessage="0" allowBlank="1" type="list">
      <formula1>'⚙️ Config'!$A$2:$A$9</formula1>
    </dataValidation>
    <dataValidation sqref="E198" showDropDown="0" showInputMessage="0" showErrorMessage="0" allowBlank="1" type="list">
      <formula1>'🛤️ Learning Paths'!$B$4:$B$103</formula1>
    </dataValidation>
    <dataValidation sqref="G198" showDropDown="0" showInputMessage="0" showErrorMessage="0" allowBlank="1" type="list">
      <formula1>'⚙️ Config'!$G$2:$G$7</formula1>
    </dataValidation>
    <dataValidation sqref="C199" showDropDown="0" showInputMessage="0" showErrorMessage="0" allowBlank="1" type="list">
      <formula1>'⚙️ Config'!$A$2:$A$9</formula1>
    </dataValidation>
    <dataValidation sqref="E199" showDropDown="0" showInputMessage="0" showErrorMessage="0" allowBlank="1" type="list">
      <formula1>'🛤️ Learning Paths'!$B$4:$B$103</formula1>
    </dataValidation>
    <dataValidation sqref="G199" showDropDown="0" showInputMessage="0" showErrorMessage="0" allowBlank="1" type="list">
      <formula1>'⚙️ Config'!$G$2:$G$7</formula1>
    </dataValidation>
    <dataValidation sqref="C200" showDropDown="0" showInputMessage="0" showErrorMessage="0" allowBlank="1" type="list">
      <formula1>'⚙️ Config'!$A$2:$A$9</formula1>
    </dataValidation>
    <dataValidation sqref="E200" showDropDown="0" showInputMessage="0" showErrorMessage="0" allowBlank="1" type="list">
      <formula1>'🛤️ Learning Paths'!$B$4:$B$103</formula1>
    </dataValidation>
    <dataValidation sqref="G200" showDropDown="0" showInputMessage="0" showErrorMessage="0" allowBlank="1" type="list">
      <formula1>'⚙️ Config'!$G$2:$G$7</formula1>
    </dataValidation>
    <dataValidation sqref="C201" showDropDown="0" showInputMessage="0" showErrorMessage="0" allowBlank="1" type="list">
      <formula1>'⚙️ Config'!$A$2:$A$9</formula1>
    </dataValidation>
    <dataValidation sqref="E201" showDropDown="0" showInputMessage="0" showErrorMessage="0" allowBlank="1" type="list">
      <formula1>'🛤️ Learning Paths'!$B$4:$B$103</formula1>
    </dataValidation>
    <dataValidation sqref="G201" showDropDown="0" showInputMessage="0" showErrorMessage="0" allowBlank="1" type="list">
      <formula1>'⚙️ Config'!$G$2:$G$7</formula1>
    </dataValidation>
    <dataValidation sqref="C202" showDropDown="0" showInputMessage="0" showErrorMessage="0" allowBlank="1" type="list">
      <formula1>'⚙️ Config'!$A$2:$A$9</formula1>
    </dataValidation>
    <dataValidation sqref="E202" showDropDown="0" showInputMessage="0" showErrorMessage="0" allowBlank="1" type="list">
      <formula1>'🛤️ Learning Paths'!$B$4:$B$103</formula1>
    </dataValidation>
    <dataValidation sqref="G202" showDropDown="0" showInputMessage="0" showErrorMessage="0" allowBlank="1" type="list">
      <formula1>'⚙️ Config'!$G$2:$G$7</formula1>
    </dataValidation>
    <dataValidation sqref="C203" showDropDown="0" showInputMessage="0" showErrorMessage="0" allowBlank="1" type="list">
      <formula1>'⚙️ Config'!$A$2:$A$9</formula1>
    </dataValidation>
    <dataValidation sqref="E203" showDropDown="0" showInputMessage="0" showErrorMessage="0" allowBlank="1" type="list">
      <formula1>'🛤️ Learning Paths'!$B$4:$B$103</formula1>
    </dataValidation>
    <dataValidation sqref="G203" showDropDown="0" showInputMessage="0" showErrorMessage="0" allowBlank="1" type="list">
      <formula1>'⚙️ Config'!$G$2:$G$7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56" t="inlineStr">
        <is>
          <t>❓  HOW TO USE SNS'S STUDY PLAN</t>
        </is>
      </c>
    </row>
    <row r="2" ht="20" customHeight="1">
      <c r="A2" s="57" t="inlineStr">
        <is>
          <t>SETUP (do once)</t>
        </is>
      </c>
    </row>
    <row r="3" ht="18" customHeight="1">
      <c r="A3" s="58" t="inlineStr">
        <is>
          <t xml:space="preserve">  1. Import this .xlsx into Google Sheets (File → Import → Replace spreadsheet).</t>
        </is>
      </c>
    </row>
    <row r="4" ht="18" customHeight="1">
      <c r="A4" s="59" t="inlineStr">
        <is>
          <t xml:space="preserve">  2. Go to Extensions → Apps Script → paste the contents of sns_apps_script.js → Save.</t>
        </is>
      </c>
    </row>
    <row r="5" ht="18" customHeight="1">
      <c r="A5" s="58" t="inlineStr">
        <is>
          <t xml:space="preserve">  3. Run the setup() function once — this creates named ranges and installs triggers.</t>
        </is>
      </c>
    </row>
    <row r="6" ht="18" customHeight="1">
      <c r="A6" s="59" t="inlineStr">
        <is>
          <t xml:space="preserve">  4. Reload the spreadsheet. You're ready!</t>
        </is>
      </c>
    </row>
    <row r="7" ht="18" customHeight="1">
      <c r="A7" s="58" t="inlineStr"/>
    </row>
    <row r="8" ht="20" customHeight="1">
      <c r="A8" s="60" t="inlineStr">
        <is>
          <t>ADDING LEARNING PATHS</t>
        </is>
      </c>
    </row>
    <row r="9" ht="18" customHeight="1">
      <c r="A9" s="58" t="inlineStr">
        <is>
          <t xml:space="preserve">  Open 🛤️ Learning Paths. Type the path name in col B — it instantly appears in all dropdowns.</t>
        </is>
      </c>
    </row>
    <row r="10" ht="18" customHeight="1">
      <c r="A10" s="59" t="inlineStr">
        <is>
          <t xml:space="preserve">  Fill in Description, Platform, Total Topics Planned, Where I Left Off, and Status.</t>
        </is>
      </c>
    </row>
    <row r="11" ht="18" customHeight="1">
      <c r="A11" s="58" t="inlineStr">
        <is>
          <t xml:space="preserve">  Update '📍 Where I Left Off' (col H) as you progress through the path.</t>
        </is>
      </c>
    </row>
    <row r="12" ht="18" customHeight="1">
      <c r="A12" s="59" t="inlineStr"/>
    </row>
    <row r="13" ht="20" customHeight="1">
      <c r="A13" s="57" t="inlineStr">
        <is>
          <t>LOGGING A TASK (Study Log)</t>
        </is>
      </c>
    </row>
    <row r="14" ht="18" customHeight="1">
      <c r="A14" s="59" t="inlineStr">
        <is>
          <t xml:space="preserve">  Select the Learning Path from dropdown (col B). Enter Topic, Tag, and click col E for Start Date.</t>
        </is>
      </c>
    </row>
    <row r="15" ht="18" customHeight="1">
      <c r="A15" s="58" t="inlineStr">
        <is>
          <t xml:space="preserve">  Click col F (Initiated Date) when you begin. Click col G (Completed Date) when done.</t>
        </is>
      </c>
    </row>
    <row r="16" ht="18" customHeight="1">
      <c r="A16" s="59" t="inlineStr">
        <is>
          <t xml:space="preserve">  Status auto-sets: Not Started → Initiated → In Progress → Completed.</t>
        </is>
      </c>
    </row>
    <row r="17" ht="18" customHeight="1">
      <c r="A17" s="58" t="inlineStr">
        <is>
          <t xml:space="preserve">  Day-4 and Day-7 dates calculate automatically from the Completed Date.</t>
        </is>
      </c>
    </row>
    <row r="18" ht="18" customHeight="1">
      <c r="A18" s="59" t="inlineStr">
        <is>
          <t xml:space="preserve">  Row sorting: active tasks sorted by Path → Start Date. Completed tasks sink to bottom.</t>
        </is>
      </c>
    </row>
    <row r="19" ht="18" customHeight="1">
      <c r="A19" s="58" t="inlineStr"/>
    </row>
    <row r="20" ht="20" customHeight="1">
      <c r="A20" s="61" t="inlineStr">
        <is>
          <t>DOING REVISIONS</t>
        </is>
      </c>
    </row>
    <row r="21" ht="18" customHeight="1">
      <c r="A21" s="58" t="inlineStr">
        <is>
          <t xml:space="preserve">  🔴 Red row = Day-4 due today. Do a 15–20 min review → mark ✅ Done in col L.</t>
        </is>
      </c>
    </row>
    <row r="22" ht="18" customHeight="1">
      <c r="A22" s="59" t="inlineStr">
        <is>
          <t xml:space="preserve">  🟠 Orange row = Day-7 due today. Do active recall → mark ✅ Done in col N.</t>
        </is>
      </c>
    </row>
    <row r="23" ht="18" customHeight="1">
      <c r="A23" s="58" t="inlineStr">
        <is>
          <t xml:space="preserve">  ✅ Pale green row = both revisions done — topic fully mastered!</t>
        </is>
      </c>
    </row>
    <row r="24" ht="18" customHeight="1">
      <c r="A24" s="59" t="inlineStr"/>
    </row>
    <row r="25" ht="20" customHeight="1">
      <c r="A25" s="61" t="inlineStr">
        <is>
          <t>TASK SCHEDULER</t>
        </is>
      </c>
    </row>
    <row r="26" ht="18" customHeight="1">
      <c r="A26" s="59" t="inlineStr">
        <is>
          <t xml:space="preserve">  Today panel (top): auto-suggests revisions due today. 5 manual slots for extra tasks.</t>
        </is>
      </c>
    </row>
    <row r="27" ht="18" customHeight="1">
      <c r="A27" s="58" t="inlineStr">
        <is>
          <t xml:space="preserve">  This Week panel: plan tasks per day. Dropdown only shows non-completed tasks.</t>
        </is>
      </c>
    </row>
    <row r="28" ht="18" customHeight="1">
      <c r="A28" s="59" t="inlineStr">
        <is>
          <t xml:space="preserve">  Selecting a task auto-fills its Learning Path.</t>
        </is>
      </c>
    </row>
    <row r="29" ht="18" customHeight="1">
      <c r="A29" s="58" t="inlineStr"/>
    </row>
    <row r="30" ht="20" customHeight="1">
      <c r="A30" s="60" t="inlineStr">
        <is>
          <t>COMPLETING A LEARNING PATH</t>
        </is>
      </c>
    </row>
    <row r="31" ht="18" customHeight="1">
      <c r="A31" s="58" t="inlineStr">
        <is>
          <t xml:space="preserve">  Set Status = Completed in 🛤️ Learning Paths col J.</t>
        </is>
      </c>
    </row>
    <row r="32" ht="18" customHeight="1">
      <c r="A32" s="59" t="inlineStr">
        <is>
          <t xml:space="preserve">  Apps Script automatically moves all its tasks from Study Log into an</t>
        </is>
      </c>
    </row>
    <row r="33" ht="18" customHeight="1">
      <c r="A33" s="58" t="inlineStr">
        <is>
          <t xml:space="preserve">  archived collapsible group below the main paths table in Learning Paths sheet.</t>
        </is>
      </c>
    </row>
    <row r="34" ht="18" customHeight="1">
      <c r="A34" s="59" t="inlineStr">
        <is>
          <t xml:space="preserve">  Click +/− on the left row numbers to expand/collapse the archive.</t>
        </is>
      </c>
    </row>
    <row r="35" ht="18" customHeight="1">
      <c r="A35" s="58" t="inlineStr"/>
    </row>
    <row r="36" ht="20" customHeight="1">
      <c r="A36" s="62" t="inlineStr">
        <is>
          <t>CHARTS &amp; PROGRESS</t>
        </is>
      </c>
    </row>
    <row r="37" ht="18" customHeight="1">
      <c r="A37" s="58" t="inlineStr">
        <is>
          <t xml:space="preserve">  Open 📊 Progress &amp; Charts. Overall stats update live.</t>
        </is>
      </c>
    </row>
    <row r="38" ht="18" customHeight="1">
      <c r="A38" s="59" t="inlineStr">
        <is>
          <t xml:space="preserve">  Click 'Rebuild Charts' button to regenerate per-path doughnut charts.</t>
        </is>
      </c>
    </row>
    <row r="39" ht="18" customHeight="1">
      <c r="A39" s="58" t="inlineStr">
        <is>
          <t xml:space="preserve">  Run this after adding new learning paths.</t>
        </is>
      </c>
    </row>
    <row r="40" ht="18" customHeight="1">
      <c r="A40" s="59" t="inlineStr"/>
    </row>
    <row r="41" ht="20" customHeight="1">
      <c r="A41" s="63" t="inlineStr">
        <is>
          <t>RESOURCES</t>
        </is>
      </c>
    </row>
    <row r="42" ht="18" customHeight="1">
      <c r="A42" s="59" t="inlineStr">
        <is>
          <t xml:space="preserve">  Add resources in 🔗 Resource Library and link them to a Learning Path.</t>
        </is>
      </c>
    </row>
    <row r="43" ht="18" customHeight="1">
      <c r="A43" s="58" t="inlineStr">
        <is>
          <t xml:space="preserve">  They appear automatically in that path's block in 📋 Tasks by Category.</t>
        </is>
      </c>
    </row>
    <row r="44" ht="18" customHeight="1">
      <c r="A44" s="59" t="inlineStr"/>
    </row>
    <row r="45" ht="20" customHeight="1">
      <c r="A45" s="64" t="inlineStr">
        <is>
          <t>COLUMN REFERENCE — Study Log</t>
        </is>
      </c>
    </row>
    <row r="46" ht="18" customHeight="1">
      <c r="A46" s="59" t="inlineStr">
        <is>
          <t xml:space="preserve">  A=#  B=Path  C=Topic  D=Tag  E=Start  F=Initiated  G=Completed  H=Status</t>
        </is>
      </c>
    </row>
    <row r="47" ht="18" customHeight="1">
      <c r="A47" s="58" t="inlineStr">
        <is>
          <t xml:space="preserve">  I=Resource Link  J=Resource Type  K=Day-4 Date  L=Day-4 Done</t>
        </is>
      </c>
    </row>
    <row r="48" ht="18" customHeight="1">
      <c r="A48" s="59" t="inlineStr">
        <is>
          <t xml:space="preserve">  M=Day-7 Date  N=Day-7 Done  O=Confidence  P=Remarks</t>
        </is>
      </c>
    </row>
  </sheetData>
  <mergeCells count="48">
    <mergeCell ref="A8"/>
    <mergeCell ref="A22"/>
    <mergeCell ref="A17"/>
    <mergeCell ref="A35"/>
    <mergeCell ref="A4"/>
    <mergeCell ref="A29"/>
    <mergeCell ref="A20"/>
    <mergeCell ref="A38"/>
    <mergeCell ref="A43"/>
    <mergeCell ref="A10"/>
    <mergeCell ref="A28"/>
    <mergeCell ref="A19"/>
    <mergeCell ref="A13"/>
    <mergeCell ref="A44"/>
    <mergeCell ref="A31"/>
    <mergeCell ref="A34"/>
    <mergeCell ref="A9"/>
    <mergeCell ref="A40"/>
    <mergeCell ref="A48"/>
    <mergeCell ref="A30"/>
    <mergeCell ref="A39"/>
    <mergeCell ref="A15"/>
    <mergeCell ref="A24"/>
    <mergeCell ref="A36"/>
    <mergeCell ref="A11"/>
    <mergeCell ref="A1"/>
    <mergeCell ref="A45"/>
    <mergeCell ref="A6"/>
    <mergeCell ref="A7"/>
    <mergeCell ref="A25"/>
    <mergeCell ref="A16"/>
    <mergeCell ref="A41"/>
    <mergeCell ref="A37"/>
    <mergeCell ref="A46"/>
    <mergeCell ref="A27"/>
    <mergeCell ref="A12"/>
    <mergeCell ref="A18"/>
    <mergeCell ref="A3"/>
    <mergeCell ref="A21"/>
    <mergeCell ref="A26"/>
    <mergeCell ref="A2"/>
    <mergeCell ref="A42"/>
    <mergeCell ref="A33"/>
    <mergeCell ref="A14"/>
    <mergeCell ref="A47"/>
    <mergeCell ref="A5"/>
    <mergeCell ref="A23"/>
    <mergeCell ref="A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Resource Types</t>
        </is>
      </c>
      <c r="B1" s="65" t="inlineStr">
        <is>
          <t>Status Options</t>
        </is>
      </c>
      <c r="C1" s="65" t="inlineStr">
        <is>
          <t>Done Options</t>
        </is>
      </c>
      <c r="D1" s="65" t="inlineStr">
        <is>
          <t>Session Types</t>
        </is>
      </c>
      <c r="E1" s="65" t="inlineStr">
        <is>
          <t>Platforms</t>
        </is>
      </c>
      <c r="F1" s="65" t="inlineStr">
        <is>
          <t>Path Status</t>
        </is>
      </c>
      <c r="G1" s="65" t="inlineStr">
        <is>
          <t>Confidence</t>
        </is>
      </c>
      <c r="H1" s="65" t="inlineStr">
        <is>
          <t>Left Off Label</t>
        </is>
      </c>
    </row>
    <row r="2">
      <c r="A2" t="inlineStr">
        <is>
          <t>YouTube Video</t>
        </is>
      </c>
      <c r="B2" t="inlineStr">
        <is>
          <t>Not Started</t>
        </is>
      </c>
      <c r="C2" t="inlineStr">
        <is>
          <t>✅ Done</t>
        </is>
      </c>
      <c r="D2" t="inlineStr">
        <is>
          <t>New Study</t>
        </is>
      </c>
      <c r="E2" t="inlineStr">
        <is>
          <t>TryHackMe</t>
        </is>
      </c>
      <c r="F2" t="inlineStr">
        <is>
          <t>Not Started</t>
        </is>
      </c>
      <c r="G2" t="inlineStr">
        <is>
          <t>⭐ 1</t>
        </is>
      </c>
      <c r="H2" t="inlineStr">
        <is>
          <t>📍 Where I Left Off</t>
        </is>
      </c>
    </row>
    <row r="3">
      <c r="A3" t="inlineStr">
        <is>
          <t>Article/Blog</t>
        </is>
      </c>
      <c r="B3" t="inlineStr">
        <is>
          <t>Initiated</t>
        </is>
      </c>
      <c r="C3" t="inlineStr">
        <is>
          <t>⏳ Pending</t>
        </is>
      </c>
      <c r="D3" t="inlineStr">
        <is>
          <t>Day-4 Revision</t>
        </is>
      </c>
      <c r="E3" t="inlineStr">
        <is>
          <t>HackTheBox</t>
        </is>
      </c>
      <c r="F3" t="inlineStr">
        <is>
          <t>In Progress</t>
        </is>
      </c>
      <c r="G3" t="inlineStr">
        <is>
          <t>⭐⭐ 2</t>
        </is>
      </c>
    </row>
    <row r="4">
      <c r="A4" t="inlineStr">
        <is>
          <t>PDF/Book</t>
        </is>
      </c>
      <c r="B4" t="inlineStr">
        <is>
          <t>In Progress</t>
        </is>
      </c>
      <c r="C4" t="inlineStr">
        <is>
          <t>❌ Skipped</t>
        </is>
      </c>
      <c r="D4" t="inlineStr">
        <is>
          <t>Day-7 Revision</t>
        </is>
      </c>
      <c r="E4" t="inlineStr">
        <is>
          <t>YouTube</t>
        </is>
      </c>
      <c r="F4" t="inlineStr">
        <is>
          <t>On Hold</t>
        </is>
      </c>
      <c r="G4" t="inlineStr">
        <is>
          <t>⭐⭐⭐ 3</t>
        </is>
      </c>
    </row>
    <row r="5">
      <c r="A5" t="inlineStr">
        <is>
          <t>Online Course</t>
        </is>
      </c>
      <c r="B5" t="inlineStr">
        <is>
          <t>Completed</t>
        </is>
      </c>
      <c r="D5" t="inlineStr">
        <is>
          <t>Practice</t>
        </is>
      </c>
      <c r="E5" t="inlineStr">
        <is>
          <t>Udemy</t>
        </is>
      </c>
      <c r="F5" t="inlineStr">
        <is>
          <t>Completed</t>
        </is>
      </c>
      <c r="G5" t="inlineStr">
        <is>
          <t>⭐⭐⭐⭐ 4</t>
        </is>
      </c>
    </row>
    <row r="6">
      <c r="A6" t="inlineStr">
        <is>
          <t>Lecture Notes</t>
        </is>
      </c>
      <c r="B6" t="inlineStr">
        <is>
          <t>On Hold</t>
        </is>
      </c>
      <c r="D6" t="inlineStr">
        <is>
          <t>Review</t>
        </is>
      </c>
      <c r="E6" t="inlineStr">
        <is>
          <t>Coursera</t>
        </is>
      </c>
      <c r="G6" t="inlineStr">
        <is>
          <t>⭐⭐⭐⭐⭐ 5</t>
        </is>
      </c>
    </row>
    <row r="7">
      <c r="A7" t="inlineStr">
        <is>
          <t>Problem Set</t>
        </is>
      </c>
      <c r="E7" t="inlineStr">
        <is>
          <t>Book</t>
        </is>
      </c>
    </row>
    <row r="8">
      <c r="A8" t="inlineStr">
        <is>
          <t>Podcast</t>
        </is>
      </c>
      <c r="E8" t="inlineStr">
        <is>
          <t>Blog</t>
        </is>
      </c>
    </row>
    <row r="9">
      <c r="A9" t="inlineStr">
        <is>
          <t>Other</t>
        </is>
      </c>
      <c r="E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2026-04-06T12:05:15Z</dcterms:created>
  <dcterms:modified xsi:type="dcterms:W3CDTF">2026-04-06T12:05:16Z</dcterms:modified>
</cp:coreProperties>
</file>